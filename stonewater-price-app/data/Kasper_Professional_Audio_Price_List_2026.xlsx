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noopbachu/Desktop/RGA/KEI/"/>
    </mc:Choice>
  </mc:AlternateContent>
  <xr:revisionPtr revIDLastSave="0" documentId="13_ncr:1_{6F2A6D3F-0F6A-2247-839F-E8F95BD28AB4}" xr6:coauthVersionLast="47" xr6:coauthVersionMax="47" xr10:uidLastSave="{00000000-0000-0000-0000-000000000000}"/>
  <bookViews>
    <workbookView xWindow="2100" yWindow="500" windowWidth="34200" windowHeight="19400"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4" i="1" l="1"/>
  <c r="I5" i="1"/>
  <c r="I6" i="1"/>
  <c r="I7" i="1"/>
  <c r="I8" i="1"/>
  <c r="I9" i="1"/>
  <c r="I10" i="1"/>
  <c r="I11" i="1"/>
  <c r="I13" i="1"/>
  <c r="I14" i="1"/>
  <c r="I16" i="1"/>
  <c r="I17" i="1"/>
  <c r="I18" i="1"/>
  <c r="I19" i="1"/>
  <c r="I20" i="1"/>
  <c r="I21" i="1"/>
  <c r="I22" i="1"/>
  <c r="I23" i="1"/>
  <c r="I24" i="1"/>
  <c r="I26" i="1"/>
  <c r="I27" i="1"/>
  <c r="I28" i="1"/>
  <c r="I29" i="1"/>
  <c r="I31" i="1"/>
  <c r="I33" i="1"/>
  <c r="I34" i="1"/>
  <c r="I35" i="1"/>
  <c r="I36" i="1"/>
  <c r="I38" i="1"/>
  <c r="I39" i="1"/>
  <c r="I40" i="1"/>
  <c r="I41" i="1"/>
  <c r="I42" i="1"/>
  <c r="I43" i="1"/>
  <c r="I45" i="1"/>
  <c r="I47" i="1"/>
  <c r="I48" i="1"/>
  <c r="I49" i="1"/>
  <c r="I51" i="1"/>
  <c r="I52" i="1"/>
  <c r="I53" i="1"/>
  <c r="I55" i="1"/>
  <c r="I56" i="1"/>
  <c r="I57" i="1"/>
  <c r="I59" i="1"/>
  <c r="I60" i="1"/>
  <c r="I62" i="1"/>
  <c r="I63" i="1"/>
  <c r="I64" i="1"/>
  <c r="I65" i="1"/>
  <c r="I66" i="1"/>
  <c r="I68" i="1"/>
  <c r="I69" i="1"/>
  <c r="I70" i="1"/>
  <c r="I71" i="1"/>
  <c r="I72" i="1"/>
  <c r="I3" i="1"/>
  <c r="H4" i="1"/>
  <c r="H5" i="1"/>
  <c r="H6" i="1"/>
  <c r="H7" i="1"/>
  <c r="H8" i="1"/>
  <c r="H9" i="1"/>
  <c r="H10" i="1"/>
  <c r="H11" i="1"/>
  <c r="H13" i="1"/>
  <c r="H14" i="1"/>
  <c r="H16" i="1"/>
  <c r="H17" i="1"/>
  <c r="H18" i="1"/>
  <c r="H19" i="1"/>
  <c r="H20" i="1"/>
  <c r="H21" i="1"/>
  <c r="H22" i="1"/>
  <c r="H23" i="1"/>
  <c r="H24" i="1"/>
  <c r="H26" i="1"/>
  <c r="H27" i="1"/>
  <c r="H28" i="1"/>
  <c r="H29" i="1"/>
  <c r="H31" i="1"/>
  <c r="H33" i="1"/>
  <c r="H34" i="1"/>
  <c r="H35" i="1"/>
  <c r="H36" i="1"/>
  <c r="H38" i="1"/>
  <c r="H39" i="1"/>
  <c r="H40" i="1"/>
  <c r="H41" i="1"/>
  <c r="H42" i="1"/>
  <c r="H43" i="1"/>
  <c r="H45" i="1"/>
  <c r="H47" i="1"/>
  <c r="H48" i="1"/>
  <c r="H49" i="1"/>
  <c r="H51" i="1"/>
  <c r="H52" i="1"/>
  <c r="H53" i="1"/>
  <c r="H55" i="1"/>
  <c r="H56" i="1"/>
  <c r="H57" i="1"/>
  <c r="H59" i="1"/>
  <c r="H60" i="1"/>
  <c r="H62" i="1"/>
  <c r="H63" i="1"/>
  <c r="H64" i="1"/>
  <c r="H65" i="1"/>
  <c r="H66" i="1"/>
  <c r="H68" i="1"/>
  <c r="H69" i="1"/>
  <c r="H70" i="1"/>
  <c r="H71" i="1"/>
  <c r="H72" i="1"/>
  <c r="H3" i="1"/>
  <c r="E4" i="1"/>
  <c r="E5" i="1"/>
  <c r="E6" i="1"/>
  <c r="E7" i="1"/>
  <c r="E8" i="1"/>
  <c r="E9" i="1"/>
  <c r="E10" i="1"/>
  <c r="E11" i="1"/>
  <c r="E13" i="1"/>
  <c r="E14" i="1"/>
  <c r="E16" i="1"/>
  <c r="E17" i="1"/>
  <c r="E18" i="1"/>
  <c r="E19" i="1"/>
  <c r="E20" i="1"/>
  <c r="E21" i="1"/>
  <c r="E22" i="1"/>
  <c r="E23" i="1"/>
  <c r="E24" i="1"/>
  <c r="E26" i="1"/>
  <c r="E27" i="1"/>
  <c r="E28" i="1"/>
  <c r="E29" i="1"/>
  <c r="E30" i="1"/>
  <c r="E31" i="1"/>
  <c r="E33" i="1"/>
  <c r="E34" i="1"/>
  <c r="E35" i="1"/>
  <c r="E36" i="1"/>
  <c r="E38" i="1"/>
  <c r="E39" i="1"/>
  <c r="E40" i="1"/>
  <c r="E41" i="1"/>
  <c r="E42" i="1"/>
  <c r="E43" i="1"/>
  <c r="E45" i="1"/>
  <c r="E47" i="1"/>
  <c r="E48" i="1"/>
  <c r="E49" i="1"/>
  <c r="E51" i="1"/>
  <c r="E52" i="1"/>
  <c r="E53" i="1"/>
  <c r="E55" i="1"/>
  <c r="E56" i="1"/>
  <c r="E57" i="1"/>
  <c r="E59" i="1"/>
  <c r="E60" i="1"/>
  <c r="E62" i="1"/>
  <c r="E63" i="1"/>
  <c r="E64" i="1"/>
  <c r="E65" i="1"/>
  <c r="E66" i="1"/>
  <c r="E68" i="1"/>
  <c r="E69" i="1"/>
  <c r="E70" i="1"/>
  <c r="E71" i="1"/>
  <c r="E72" i="1"/>
  <c r="E3" i="1"/>
  <c r="F26" i="1"/>
  <c r="F27" i="1"/>
  <c r="F28" i="1"/>
  <c r="F29" i="1"/>
  <c r="F31" i="1"/>
  <c r="F33" i="1"/>
  <c r="F34" i="1"/>
  <c r="F35" i="1"/>
  <c r="F36" i="1"/>
  <c r="F38" i="1"/>
  <c r="F39" i="1"/>
  <c r="F40" i="1"/>
  <c r="F41" i="1"/>
  <c r="F42" i="1"/>
  <c r="F43" i="1"/>
  <c r="F45" i="1"/>
  <c r="F47" i="1"/>
  <c r="F48" i="1"/>
  <c r="F49" i="1"/>
  <c r="F51" i="1"/>
  <c r="F52" i="1"/>
  <c r="F53" i="1"/>
  <c r="F55" i="1"/>
  <c r="F56" i="1"/>
  <c r="F57" i="1"/>
  <c r="F59" i="1"/>
  <c r="F60" i="1"/>
  <c r="F62" i="1"/>
  <c r="F63" i="1"/>
  <c r="F64" i="1"/>
  <c r="F65" i="1"/>
  <c r="F66" i="1"/>
  <c r="F68" i="1"/>
  <c r="F69" i="1"/>
  <c r="F70" i="1"/>
  <c r="F71" i="1"/>
  <c r="F72" i="1"/>
  <c r="F16" i="1"/>
  <c r="F17" i="1"/>
  <c r="F18" i="1"/>
  <c r="F19" i="1"/>
  <c r="F20" i="1"/>
  <c r="F21" i="1"/>
  <c r="F22" i="1"/>
  <c r="F23" i="1"/>
  <c r="F24" i="1"/>
  <c r="F14" i="1"/>
  <c r="F13" i="1"/>
  <c r="F4" i="1"/>
  <c r="F5" i="1"/>
  <c r="F6" i="1"/>
  <c r="F7" i="1"/>
  <c r="F8" i="1"/>
  <c r="F9" i="1"/>
  <c r="F10" i="1"/>
  <c r="F11" i="1"/>
  <c r="F3" i="1"/>
  <c r="D4" i="1"/>
  <c r="D5" i="1"/>
  <c r="D6" i="1"/>
  <c r="D7" i="1"/>
  <c r="D8" i="1"/>
  <c r="D9" i="1"/>
  <c r="D10" i="1"/>
  <c r="D11" i="1"/>
  <c r="D13" i="1"/>
  <c r="D14" i="1"/>
  <c r="D16" i="1"/>
  <c r="D17" i="1"/>
  <c r="D18" i="1"/>
  <c r="D19" i="1"/>
  <c r="D20" i="1"/>
  <c r="D21" i="1"/>
  <c r="D22" i="1"/>
  <c r="D23" i="1"/>
  <c r="D24" i="1"/>
  <c r="D26" i="1"/>
  <c r="D27" i="1"/>
  <c r="D28" i="1"/>
  <c r="D29" i="1"/>
  <c r="D31" i="1"/>
  <c r="D33" i="1"/>
  <c r="D34" i="1"/>
  <c r="D35" i="1"/>
  <c r="D36" i="1"/>
  <c r="D38" i="1"/>
  <c r="D39" i="1"/>
  <c r="D40" i="1"/>
  <c r="D41" i="1"/>
  <c r="D42" i="1"/>
  <c r="D43" i="1"/>
  <c r="D45" i="1"/>
  <c r="D47" i="1"/>
  <c r="D48" i="1"/>
  <c r="D49" i="1"/>
  <c r="D51" i="1"/>
  <c r="D52" i="1"/>
  <c r="D53" i="1"/>
  <c r="D55" i="1"/>
  <c r="D56" i="1"/>
  <c r="D57" i="1"/>
  <c r="D59" i="1"/>
  <c r="D60" i="1"/>
  <c r="D62" i="1"/>
  <c r="D63" i="1"/>
  <c r="D64" i="1"/>
  <c r="D65" i="1"/>
  <c r="D66" i="1"/>
  <c r="D68" i="1"/>
  <c r="D69" i="1"/>
  <c r="D70" i="1"/>
  <c r="D71" i="1"/>
  <c r="D72" i="1"/>
  <c r="D3" i="1"/>
</calcChain>
</file>

<file path=xl/sharedStrings.xml><?xml version="1.0" encoding="utf-8"?>
<sst xmlns="http://schemas.openxmlformats.org/spreadsheetml/2006/main" count="251" uniqueCount="181">
  <si>
    <t>Model No.</t>
  </si>
  <si>
    <t>MRP (₹)</t>
  </si>
  <si>
    <t>KMA-8120</t>
  </si>
  <si>
    <t>120W Mixer Amplifier with MP3/FM Tuner/Bluetooth</t>
  </si>
  <si>
    <t>33,900.00</t>
  </si>
  <si>
    <t>KMA-8240</t>
  </si>
  <si>
    <t>240W Mixer Amplifier with MP3/FM Tuner/Bluetooth</t>
  </si>
  <si>
    <t>41,900.00</t>
  </si>
  <si>
    <t>KMA-8360</t>
  </si>
  <si>
    <t>350W Mixer Amplifier with MP3/FM Tuner/Bluetooth</t>
  </si>
  <si>
    <t>52,900.00</t>
  </si>
  <si>
    <t>KMA-8500</t>
  </si>
  <si>
    <t>500W Mixer Amplifier with MP3/FM Tuner/Bluetooth</t>
  </si>
  <si>
    <t>63,900.00</t>
  </si>
  <si>
    <t>KMA-8120-Z5</t>
  </si>
  <si>
    <t>120W 5 Zone Mixer Amplifier with MP3/FM Tuner/Bluetooth</t>
  </si>
  <si>
    <t>38,900.00</t>
  </si>
  <si>
    <t>KMA-8240-Z5</t>
  </si>
  <si>
    <t>240W 5 Zone Mixer Amplifier with MP3/FM Tuner/Bluetooth</t>
  </si>
  <si>
    <t>49,900.00</t>
  </si>
  <si>
    <t>KMA-8360-Z5</t>
  </si>
  <si>
    <t>350W 5 Zone Mixer Amplifier with MP3/FM Tuner/Bluetooth</t>
  </si>
  <si>
    <t>57,900.00</t>
  </si>
  <si>
    <t>KMA-8500-Z5</t>
  </si>
  <si>
    <t>500W 5 Zone Mixer Amplifier with MP3/FM Tuner/Bluetooth</t>
  </si>
  <si>
    <t>68,900.00</t>
  </si>
  <si>
    <t>KMA-8650-Z5</t>
  </si>
  <si>
    <t>650W 5 Zone Mixer Amplifier with MP3/FM Tuner/Bluetooth</t>
  </si>
  <si>
    <t>78,900.00</t>
  </si>
  <si>
    <t>ZONE AMPLIFIER</t>
  </si>
  <si>
    <t>KZMA-4100L</t>
  </si>
  <si>
    <t>4 Channel Digital Power Amplifier 100W at 8Ohm with Bluetooth 5.0, USB interface, FM Radio, Support lossless format music playback Two microphone interfaces, anti-howling 2 stereo channels, 4 zones, Support remote control</t>
  </si>
  <si>
    <t>36,900.00</t>
  </si>
  <si>
    <t>KZMA-8050L</t>
  </si>
  <si>
    <t>8 channel constant resistance amplifier 50W at 8Ohm 4 stereo channels, Support lossless format music play, Support Bluetooth 5.0, FM radio, One Audio out, Two AUX input ,Support USB port, Support voice prompt tone, Support High and low pitch adjustment</t>
  </si>
  <si>
    <t>48,900.00</t>
  </si>
  <si>
    <t>KREST SERIES - POWER AMPLIFIER</t>
  </si>
  <si>
    <t>D-2350</t>
  </si>
  <si>
    <t>2Channel Power Amplifier 350W / Class D-Amplifier</t>
  </si>
  <si>
    <t>D-4350</t>
  </si>
  <si>
    <t>4 Channel Power Amplifier 350W / Class D-Amplifier</t>
  </si>
  <si>
    <t>D-2600.2</t>
  </si>
  <si>
    <t>2 Channel Power Amplifier 600W / Class D-Amplifier</t>
  </si>
  <si>
    <t>D-4600.2</t>
  </si>
  <si>
    <t>4 Channel Power Amplifier 600W / Class D-Amplifier</t>
  </si>
  <si>
    <t>69,900.00</t>
  </si>
  <si>
    <t>H-4400A</t>
  </si>
  <si>
    <t>4 Channel Power Amplifier 400W / Class H-Amplifier</t>
  </si>
  <si>
    <t>96,900.00</t>
  </si>
  <si>
    <t>HP-21000C</t>
  </si>
  <si>
    <t>2 Channel Power Amplifier 1000W / Class H-Amplifier</t>
  </si>
  <si>
    <t>99,900.00</t>
  </si>
  <si>
    <t>H-4600A</t>
  </si>
  <si>
    <t>4 Channel Power Amplifier 600W / Class H-Amplifier</t>
  </si>
  <si>
    <t>1,09,900.00</t>
  </si>
  <si>
    <t>HP-21500C</t>
  </si>
  <si>
    <t>MIXER AMPLIFIER - SINGLE ZONE 2 Channel Power Amplifier 1500W / Class H-Amplifier</t>
  </si>
  <si>
    <t>1,29,900.00</t>
  </si>
  <si>
    <t>H-41000C 2U</t>
  </si>
  <si>
    <t>4 Channel Power Amplifier 1000W / Class H-Amplifier</t>
  </si>
  <si>
    <t>1,34,900.00</t>
  </si>
  <si>
    <t>DIGITAL SIGNAL PROCESSOR</t>
  </si>
  <si>
    <t>KSP-A36</t>
  </si>
  <si>
    <t>3 In 6 out DSP Audio Processor High-performance digital DSP processor that supports multi-channel analog signal routing supporting 64-bit floating-point optimized FIR and IIR algorithms; the A/D part uses the AK5552 analog-to-digital conversion chip Frequency response (20Hz-20kHz@+4dBu): +0/-0.3dB Total harmonic distortion (20Hz-20kHz@+4dBu): &lt;0.003%</t>
  </si>
  <si>
    <t>54,900.00</t>
  </si>
  <si>
    <t>KSP-A48.2</t>
  </si>
  <si>
    <t>4 In 8 out DSP Audio Processor High-performance digital DSP processor that supports multi-channel analog signal routing supporting 64-bit floating-point optimized FIR and IIR algorithms; the A/D part uses the AK5552 analog-to-digital conversion chip Frequency response (20Hz-20kHz@+4dBu): +0/-0.3dB Total harmonic distortion (20Hz-20kHz@+4dBu): &lt;0.003%</t>
  </si>
  <si>
    <t>59,900.00</t>
  </si>
  <si>
    <t>KSP-S36</t>
  </si>
  <si>
    <t>3in 6out Full Display DSP Audio Processor routing supporting 64-bit floating-point optimized FIR and IIR algorithms; the A/D part uses the AK5552 analog-to-digital conversion chip Input channels: 4ch analog XLR balanced Output channels: 8ch analog XLR balanced Frequency response (20Hz-20kHz@+4dBu): +0/-0.3dB Total harmonic distortion (20Hz-20kHz@+4dBu): &lt;0.003%</t>
  </si>
  <si>
    <t>65,900.00</t>
  </si>
  <si>
    <t>KSP-S48.2</t>
  </si>
  <si>
    <t>4in 8 out Full Display DSP Audio Processor High-performance digital DSP processor that supports multi-channel analog signal routing supporting 64-bit floating-point optimized FIR and IIR algorithms; the A/D part uses the AK5552 analog-to-digital conversion chip Input channels: 4ch analog XLR balanced Output channels: 8ch analog XLR balanced Frequency response (20Hz-20kHz@+4dBu): +0/-0.3dB Total harmonic distortion (20Hz-20kHz@+4dBu): &lt;0.003%</t>
  </si>
  <si>
    <t>72,900.00</t>
  </si>
  <si>
    <t>AVALON AVR- 8K</t>
  </si>
  <si>
    <t>Avalon X520</t>
  </si>
  <si>
    <t>Kasper 5.2 Channel AVR Output- 4-8 Ohm Total Output Power - 500W SNR - &gt;=75dB THD - less than 0.5% at 1Khz</t>
  </si>
  <si>
    <t>ÊNTE SERIES</t>
  </si>
  <si>
    <t>Ênte 10</t>
  </si>
  <si>
    <t>-Stream music from your phone over WiFi, AirPlay, Spotify Connect, and Bluetooth 5.0. - Rich Interfaces: Optical Out, Line In/Out, Type-C DAC input, Lan, USB Host. - HD Sound: Support CD quality high-definition sound streaming. - Support Spotify, Amazon Music, Tidal, Qobuz, TuneIn, Internet Radio and more. - Multiroom: Sync music or play different songs across all rooms. -Outlook: New OLED mode display and touch button with friendly use. -Spdif Out: New optical output for HQ audio transmit. -Type-C Port: New type-c port for 5V1A power supply and PC digital audio input.</t>
  </si>
  <si>
    <t>15,900.00</t>
  </si>
  <si>
    <t>Ênte 50</t>
  </si>
  <si>
    <t>-Add Wireless Capability To Your Home Audio System: Add WiFi, Direct Streaming, Airplay, Spotify Connect and Aptx HD Bluetooth 5.0 -Multiroom Audio System -Extraordinary Sound Performance: Ênte 50 uses the famous ESS Sabre 9023 DAC and supports Aptx HD Bluetooth 5.0.</t>
  </si>
  <si>
    <t>Ênte 50A</t>
  </si>
  <si>
    <t>-Add Wireless Capability To Your Home Audio System: Add WiFi, AirPlay, Spotify Connect and Bluetooth 5.0 wireless capability to your passive speakers, and active Connect your existing amplifiers, preamps and recievers via optical and RCA Line in, or your computer audio via the Micro-USB port. -Multiroom Audio System. -Powerful Stereo Amplifier. Brilliant Sound Streamed Directly From Your Favorite Providers: Spotify, Amazon Music, Tidal, Qobuz, Deezer, Napster, TuneIn, Internet Radio, iHeart Radio, QQ Music, QQ FM.</t>
  </si>
  <si>
    <t>39,900.00</t>
  </si>
  <si>
    <t>Ênte 80A</t>
  </si>
  <si>
    <t>-Home Theater 80Wx2 High-Res Wireless Stereo Audio Amplifier can use Airplay2 to stream music from your iOS device. It has WiFi and bluetooth 5.0 and support multiroom music streaming '-Music Sources: Spotify Connect,Tidal Connect,Airplay 2, DLNA,UPnP,Qplay '-Spotify, Deezer, TuneIn, Tidal, Qobuz, Napster, iHeartRadio, more coming in the near future Local storage: Music stored on the mobile device memory, NAS, USB pen drive Multizone Function: 1.By 4stream APP to set up one device sa master to sync music to other connected devices 2.By Airplay2 multiroom function</t>
  </si>
  <si>
    <t>46,900.00</t>
  </si>
  <si>
    <t>IN-CEILING FRAMELESS SPEAKERS</t>
  </si>
  <si>
    <t>KCS-N508T</t>
  </si>
  <si>
    <t>Power at 100V - 3/6W Power at 70V - 1.5/3W SPL( 1W/1M) - 92dB, Freq. Response - 100Hz- 16KHz Cutout Size - Dia 150mm Installation - Inceiling Enclosure Material - ABS Weight - 0.5Kg Finish - White. Product Size - Dia175x60mm(H) Max SPL@ 1M - 99dB. Speakers - 5"x1 full range</t>
  </si>
  <si>
    <t>2,490.00</t>
  </si>
  <si>
    <t>KCS-E608T **Coming Soon</t>
  </si>
  <si>
    <t>MIXER AMPLIFIER - SINGLE ZONE 6inch ceiling speaker 70-110v with transformer Rated Power: 3-15W, Peak Power: 30W, Impedence:8Ω, Dimenssions: 226 * 85mm</t>
  </si>
  <si>
    <t>1,770.00</t>
  </si>
  <si>
    <t>KCS-N608T</t>
  </si>
  <si>
    <t>Power at 100V - 3/6W Power at 70V - 1.5/3W SPL( 1W/1M) - 92dB. Freq. Response - 100Hz- 18KHz Cutout Size - Dia 170mm Installation - Inceiling Enclosure Material - ABS Weight - 0.7Kg.Product Size - Dia175x60mm(H) Max SPL@ 1M - 99dB. Speakers - 6"x1 full range</t>
  </si>
  <si>
    <t>3,490.00</t>
  </si>
  <si>
    <t>KCS-N808T</t>
  </si>
  <si>
    <t>Power at 100V - 5/10W Power at 70V - 2.5/5W SPL( 1W/1M) - 92dB.Freq. Response - 100Hz- 18KHz Cutout Size - Dia 210mm Installation - Inceiling Enclosure Material - ABS Weight - 0.7Kg. Product Size - Dia 230x90mm(H) Max SPL@ 1M - 101dB.Speakers - 8"x1 full range</t>
  </si>
  <si>
    <t>5,990.00</t>
  </si>
  <si>
    <t>KCS-R624</t>
  </si>
  <si>
    <t>Power at 15W /8 ohms SPL( 1W/1M) - 89dB Max SPL@ 1M - 101dB Freq. Response - 65Hz-20KHz Cutout Size - Dia 170mm Speakers - Inceiling Enclosure Material - ABS Weight - 0.8KG Finish - White Installation - Dia 187x80mm(H) Product Size - 1" x1 (TREBLE) 6"x1(BASS)</t>
  </si>
  <si>
    <t>5,290.00</t>
  </si>
  <si>
    <t>KCS-R628T</t>
  </si>
  <si>
    <t>Power at 100V /8 ohms - 15W /7.5W SPL( 1W/1M) - 89dB Max SPL@ 1M - 101dB Freq. Response - 65Hz-20KHz Cutout Size - Dia 170mm Speakers - Inceiling Enclosure Material - ABS Weight - 1.0KG Finish - White Installation - Dia 187x87mm(H) Product Size - 1" x1 (TREBLE) 6"x1(BASS)</t>
  </si>
  <si>
    <t>5,790.00</t>
  </si>
  <si>
    <t>KSM-620T</t>
  </si>
  <si>
    <t>5.5inch surface ceiling speaker with 5W/10W/20W/30W Input:70-100V Frequency</t>
  </si>
  <si>
    <t>WEATHERPROOF OUTDOOR SPEAKER</t>
  </si>
  <si>
    <t>GPW530</t>
  </si>
  <si>
    <t>5" 30W Indoor/Outdoor IP66 Waterproof Speaker (With pendant and ground stand installation kits)</t>
  </si>
  <si>
    <t>21,900.00</t>
  </si>
  <si>
    <t>GPW640</t>
  </si>
  <si>
    <t>6.5" 40W Indoor/Outdoor IP66 Waterproof Speaker (With pendant and ground stand installation kits)</t>
  </si>
  <si>
    <t>24,900.00</t>
  </si>
  <si>
    <t>GPW530-BE (Upon request)</t>
  </si>
  <si>
    <t>INKLINE - LINE ARRAYS</t>
  </si>
  <si>
    <t>KLA-D84</t>
  </si>
  <si>
    <t>DUAL 8'' INCHES /400W, Power</t>
  </si>
  <si>
    <t>1,13,990.00</t>
  </si>
  <si>
    <t>KLA-D106</t>
  </si>
  <si>
    <t>MIXER AMPLIFIER - SINGLE ZONE DUAL 10'' INCHES/600W'</t>
  </si>
  <si>
    <t>1,60,990.00</t>
  </si>
  <si>
    <t>KLA-D1212</t>
  </si>
  <si>
    <t>DUAL 12'' INCHES /1200W</t>
  </si>
  <si>
    <t>2,13,990.00</t>
  </si>
  <si>
    <t>POINT SOURCE SPEAKERS</t>
  </si>
  <si>
    <t>KLOUT-208</t>
  </si>
  <si>
    <t>8'' INCHES SINGLE /200W</t>
  </si>
  <si>
    <t>27,990.00</t>
  </si>
  <si>
    <t>KLOUT-312</t>
  </si>
  <si>
    <t>12'' INCHES SINGLE /300W</t>
  </si>
  <si>
    <t>62,990.00</t>
  </si>
  <si>
    <t>KLOUT-415</t>
  </si>
  <si>
    <t>15' 'INCHES SINGLE /400W</t>
  </si>
  <si>
    <t>72,990.00</t>
  </si>
  <si>
    <t>MONITOR SPEAKERS</t>
  </si>
  <si>
    <t>KMON-412</t>
  </si>
  <si>
    <t>12'' INCHES SINGLE /400W</t>
  </si>
  <si>
    <t>66,990.00</t>
  </si>
  <si>
    <t>KMON-415</t>
  </si>
  <si>
    <t>84,990.00</t>
  </si>
  <si>
    <t>KUA - SUBWOOFERS</t>
  </si>
  <si>
    <t>PS- 12S40</t>
  </si>
  <si>
    <t>12' INCHES SINGLE /400W</t>
  </si>
  <si>
    <t>PS - 15S8</t>
  </si>
  <si>
    <t>15' INCHES SINGLE /800W</t>
  </si>
  <si>
    <t>76,990.00</t>
  </si>
  <si>
    <t>PS - 18S10</t>
  </si>
  <si>
    <t>18' INCHES SINGLE /1000W</t>
  </si>
  <si>
    <t>99,990.00</t>
  </si>
  <si>
    <t>PS - 15D16</t>
  </si>
  <si>
    <t>15' INCHES DUAL /1600W</t>
  </si>
  <si>
    <t>1,28,990.00</t>
  </si>
  <si>
    <t>PS - 18D20</t>
  </si>
  <si>
    <t>18' INCHES DUAL /2000W</t>
  </si>
  <si>
    <t>1,74,990.00</t>
  </si>
  <si>
    <t>KUA - OUTDOOR SUBWOOFERS</t>
  </si>
  <si>
    <t>PS-12S40 OD</t>
  </si>
  <si>
    <t>PS - 15S8 OD</t>
  </si>
  <si>
    <t>1,35,990.00</t>
  </si>
  <si>
    <t>PS - 18S10 OD</t>
  </si>
  <si>
    <t>MIXER AMPLIFIER - SINGLE ZONE 18' INCHES SINGLE /1,400W</t>
  </si>
  <si>
    <t>1,57,990.00</t>
  </si>
  <si>
    <t>PS - 15D16 OD</t>
  </si>
  <si>
    <t>2,45,990.00</t>
  </si>
  <si>
    <t>PS - 18D20 OD</t>
  </si>
  <si>
    <t>18' INCHES DUAL /2800W</t>
  </si>
  <si>
    <t>2,89,990.00</t>
  </si>
  <si>
    <t>Brand</t>
  </si>
  <si>
    <t>Kasper</t>
  </si>
  <si>
    <t>MIXER AMPLIFIER</t>
  </si>
  <si>
    <t xml:space="preserve">
SURFACE MOUNT SPEAKER</t>
  </si>
  <si>
    <t>List price plus Tax</t>
  </si>
  <si>
    <t>Dealer Price</t>
  </si>
  <si>
    <t>Description</t>
  </si>
  <si>
    <t>Dist RGA Price</t>
  </si>
  <si>
    <t>Dealer Margin</t>
  </si>
  <si>
    <t>Dist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</si>
</sst>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name val="Calibri"/>
      <family val="2"/>
      <scheme val="minor"/>
    </font>
    <font>
      <sz val="18"/>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2" fillId="0" borderId="0" xfId="0" applyFont="1" applyAlignment="1">
      <alignment wrapText="1"/>
    </xf>
    <xf numFmtId="0" fontId="2" fillId="0" borderId="1" xfId="0" applyFont="1" applyBorder="1"/>
    <xf numFmtId="0" fontId="2" fillId="0" borderId="1" xfId="0" applyFont="1" applyBorder="1" applyAlignment="1">
      <alignment wrapText="1"/>
    </xf>
    <xf numFmtId="4" fontId="1" fillId="0" borderId="1" xfId="0" applyNumberFormat="1" applyFont="1" applyBorder="1" applyAlignment="1">
      <alignment horizontal="center" vertical="top" wrapText="1"/>
    </xf>
    <xf numFmtId="4" fontId="2" fillId="0" borderId="1" xfId="0" applyNumberFormat="1" applyFont="1" applyBorder="1" applyAlignment="1">
      <alignment wrapText="1"/>
    </xf>
    <xf numFmtId="4" fontId="2" fillId="0" borderId="0" xfId="0" applyNumberFormat="1" applyFont="1" applyAlignment="1">
      <alignment wrapText="1"/>
    </xf>
    <xf numFmtId="0" fontId="2"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wrapText="1"/>
    </xf>
    <xf numFmtId="0" fontId="2" fillId="0" borderId="0" xfId="0" applyFont="1" applyAlignment="1">
      <alignment horizontal="center"/>
    </xf>
    <xf numFmtId="10" fontId="2" fillId="0" borderId="0" xfId="0" applyNumberFormat="1" applyFont="1"/>
    <xf numFmtId="10" fontId="2" fillId="0" borderId="1" xfId="0" applyNumberFormat="1" applyFont="1" applyBorder="1"/>
    <xf numFmtId="10" fontId="3"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
  <sheetViews>
    <sheetView tabSelected="1" zoomScale="80" zoomScaleNormal="80" workbookViewId="0">
      <selection activeCell="H1" sqref="H1:I1"/>
    </sheetView>
  </sheetViews>
  <sheetFormatPr baseColWidth="10" defaultColWidth="8.83203125" defaultRowHeight="24" x14ac:dyDescent="0.3"/>
  <cols>
    <col min="1" max="1" width="9.6640625" style="2" bestFit="1" customWidth="1"/>
    <col min="2" max="2" width="49.5" style="13" bestFit="1" customWidth="1"/>
    <col min="3" max="3" width="118.33203125" style="4" customWidth="1"/>
    <col min="4" max="5" width="23.5" style="9" customWidth="1"/>
    <col min="6" max="6" width="29.83203125" style="9" customWidth="1"/>
    <col min="7" max="7" width="15.6640625" style="2" bestFit="1" customWidth="1"/>
    <col min="8" max="8" width="18.83203125" style="14" bestFit="1" customWidth="1"/>
    <col min="9" max="9" width="15.33203125" style="14" bestFit="1" customWidth="1"/>
    <col min="10" max="16384" width="8.83203125" style="2"/>
  </cols>
  <sheetData>
    <row r="1" spans="1:9" ht="25" x14ac:dyDescent="0.3">
      <c r="A1" s="1" t="s">
        <v>171</v>
      </c>
      <c r="B1" s="1" t="s">
        <v>0</v>
      </c>
      <c r="C1" s="3" t="s">
        <v>177</v>
      </c>
      <c r="D1" s="3" t="s">
        <v>178</v>
      </c>
      <c r="E1" s="3" t="s">
        <v>176</v>
      </c>
      <c r="F1" s="1" t="s">
        <v>175</v>
      </c>
      <c r="G1" s="1" t="s">
        <v>1</v>
      </c>
      <c r="H1" s="16" t="s">
        <v>179</v>
      </c>
      <c r="I1" s="16" t="s">
        <v>180</v>
      </c>
    </row>
    <row r="2" spans="1:9" x14ac:dyDescent="0.3">
      <c r="A2" s="5"/>
      <c r="B2" s="1" t="s">
        <v>173</v>
      </c>
      <c r="C2" s="3"/>
      <c r="D2" s="7"/>
      <c r="E2" s="7"/>
      <c r="F2" s="7"/>
      <c r="G2" s="1"/>
      <c r="H2" s="15"/>
      <c r="I2" s="15"/>
    </row>
    <row r="3" spans="1:9" ht="25" x14ac:dyDescent="0.3">
      <c r="A3" s="5" t="s">
        <v>172</v>
      </c>
      <c r="B3" s="10" t="s">
        <v>2</v>
      </c>
      <c r="C3" s="6" t="s">
        <v>3</v>
      </c>
      <c r="D3" s="8">
        <f>ROUND(((G3*0.55)/1.18),0)</f>
        <v>15801</v>
      </c>
      <c r="E3" s="8">
        <f>ROUND((F3*0.8),0)</f>
        <v>22983</v>
      </c>
      <c r="F3" s="8">
        <f>ROUND((G3/1.18),0)</f>
        <v>28729</v>
      </c>
      <c r="G3" s="5" t="s">
        <v>4</v>
      </c>
      <c r="H3" s="15">
        <f>(F3-E3)/E3</f>
        <v>0.25001087760518642</v>
      </c>
      <c r="I3" s="15">
        <f>(F3-D3)/D3</f>
        <v>0.81817606480602489</v>
      </c>
    </row>
    <row r="4" spans="1:9" ht="25" x14ac:dyDescent="0.3">
      <c r="A4" s="5" t="s">
        <v>172</v>
      </c>
      <c r="B4" s="10" t="s">
        <v>5</v>
      </c>
      <c r="C4" s="6" t="s">
        <v>6</v>
      </c>
      <c r="D4" s="8">
        <f>ROUND(((G4*0.55)/1.18),0)</f>
        <v>19530</v>
      </c>
      <c r="E4" s="8">
        <f t="shared" ref="E4:E67" si="0">ROUND((F4*0.8),0)</f>
        <v>28406</v>
      </c>
      <c r="F4" s="8">
        <f t="shared" ref="F4:F67" si="1">ROUND((G4/1.18),0)</f>
        <v>35508</v>
      </c>
      <c r="G4" s="5" t="s">
        <v>7</v>
      </c>
      <c r="H4" s="15">
        <f t="shared" ref="H4:H67" si="2">(F4-E4)/E4</f>
        <v>0.25001760191508837</v>
      </c>
      <c r="I4" s="15">
        <f t="shared" ref="I4:I67" si="3">(F4-D4)/D4</f>
        <v>0.81812596006144389</v>
      </c>
    </row>
    <row r="5" spans="1:9" ht="25" x14ac:dyDescent="0.3">
      <c r="A5" s="5" t="s">
        <v>172</v>
      </c>
      <c r="B5" s="10" t="s">
        <v>8</v>
      </c>
      <c r="C5" s="6" t="s">
        <v>9</v>
      </c>
      <c r="D5" s="8">
        <f>ROUND(((G5*0.55)/1.18),0)</f>
        <v>24657</v>
      </c>
      <c r="E5" s="8">
        <f t="shared" si="0"/>
        <v>35865</v>
      </c>
      <c r="F5" s="8">
        <f t="shared" si="1"/>
        <v>44831</v>
      </c>
      <c r="G5" s="5" t="s">
        <v>10</v>
      </c>
      <c r="H5" s="15">
        <f t="shared" si="2"/>
        <v>0.24999302941586504</v>
      </c>
      <c r="I5" s="15">
        <f t="shared" si="3"/>
        <v>0.8181855051303889</v>
      </c>
    </row>
    <row r="6" spans="1:9" ht="25" x14ac:dyDescent="0.3">
      <c r="A6" s="5" t="s">
        <v>172</v>
      </c>
      <c r="B6" s="10" t="s">
        <v>11</v>
      </c>
      <c r="C6" s="6" t="s">
        <v>12</v>
      </c>
      <c r="D6" s="8">
        <f>ROUND(((G6*0.55)/1.18),0)</f>
        <v>29784</v>
      </c>
      <c r="E6" s="8">
        <f t="shared" si="0"/>
        <v>43322</v>
      </c>
      <c r="F6" s="8">
        <f t="shared" si="1"/>
        <v>54153</v>
      </c>
      <c r="G6" s="5" t="s">
        <v>13</v>
      </c>
      <c r="H6" s="15">
        <f t="shared" si="2"/>
        <v>0.25001154148007942</v>
      </c>
      <c r="I6" s="15">
        <f t="shared" si="3"/>
        <v>0.81819097502014504</v>
      </c>
    </row>
    <row r="7" spans="1:9" ht="25" x14ac:dyDescent="0.3">
      <c r="A7" s="5" t="s">
        <v>172</v>
      </c>
      <c r="B7" s="10" t="s">
        <v>14</v>
      </c>
      <c r="C7" s="6" t="s">
        <v>15</v>
      </c>
      <c r="D7" s="8">
        <f>ROUND(((G7*0.55)/1.18),0)</f>
        <v>18131</v>
      </c>
      <c r="E7" s="8">
        <f t="shared" si="0"/>
        <v>26373</v>
      </c>
      <c r="F7" s="8">
        <f t="shared" si="1"/>
        <v>32966</v>
      </c>
      <c r="G7" s="5" t="s">
        <v>16</v>
      </c>
      <c r="H7" s="15">
        <f t="shared" si="2"/>
        <v>0.24999052060819779</v>
      </c>
      <c r="I7" s="15">
        <f t="shared" si="3"/>
        <v>0.81821190226683582</v>
      </c>
    </row>
    <row r="8" spans="1:9" ht="25" x14ac:dyDescent="0.3">
      <c r="A8" s="5" t="s">
        <v>172</v>
      </c>
      <c r="B8" s="10" t="s">
        <v>17</v>
      </c>
      <c r="C8" s="6" t="s">
        <v>18</v>
      </c>
      <c r="D8" s="8">
        <f>ROUND(((G8*0.55)/1.18),0)</f>
        <v>23258</v>
      </c>
      <c r="E8" s="8">
        <f t="shared" si="0"/>
        <v>33830</v>
      </c>
      <c r="F8" s="8">
        <f t="shared" si="1"/>
        <v>42288</v>
      </c>
      <c r="G8" s="5" t="s">
        <v>19</v>
      </c>
      <c r="H8" s="15">
        <f t="shared" si="2"/>
        <v>0.25001477978125924</v>
      </c>
      <c r="I8" s="15">
        <f t="shared" si="3"/>
        <v>0.8182130879697308</v>
      </c>
    </row>
    <row r="9" spans="1:9" ht="25" x14ac:dyDescent="0.3">
      <c r="A9" s="5" t="s">
        <v>172</v>
      </c>
      <c r="B9" s="10" t="s">
        <v>20</v>
      </c>
      <c r="C9" s="6" t="s">
        <v>21</v>
      </c>
      <c r="D9" s="8">
        <f>ROUND(((G9*0.55)/1.18),0)</f>
        <v>26987</v>
      </c>
      <c r="E9" s="8">
        <f t="shared" si="0"/>
        <v>39254</v>
      </c>
      <c r="F9" s="8">
        <f t="shared" si="1"/>
        <v>49068</v>
      </c>
      <c r="G9" s="5" t="s">
        <v>22</v>
      </c>
      <c r="H9" s="15">
        <f t="shared" si="2"/>
        <v>0.25001273755540837</v>
      </c>
      <c r="I9" s="15">
        <f t="shared" si="3"/>
        <v>0.81820876718419977</v>
      </c>
    </row>
    <row r="10" spans="1:9" ht="25" x14ac:dyDescent="0.3">
      <c r="A10" s="5" t="s">
        <v>172</v>
      </c>
      <c r="B10" s="10" t="s">
        <v>23</v>
      </c>
      <c r="C10" s="6" t="s">
        <v>24</v>
      </c>
      <c r="D10" s="8">
        <f>ROUND(((G10*0.55)/1.18),0)</f>
        <v>32114</v>
      </c>
      <c r="E10" s="8">
        <f t="shared" si="0"/>
        <v>46712</v>
      </c>
      <c r="F10" s="8">
        <f t="shared" si="1"/>
        <v>58390</v>
      </c>
      <c r="G10" s="5" t="s">
        <v>25</v>
      </c>
      <c r="H10" s="15">
        <f t="shared" si="2"/>
        <v>0.25</v>
      </c>
      <c r="I10" s="15">
        <f t="shared" si="3"/>
        <v>0.81821012642461233</v>
      </c>
    </row>
    <row r="11" spans="1:9" ht="25" x14ac:dyDescent="0.3">
      <c r="A11" s="5" t="s">
        <v>172</v>
      </c>
      <c r="B11" s="10" t="s">
        <v>26</v>
      </c>
      <c r="C11" s="6" t="s">
        <v>27</v>
      </c>
      <c r="D11" s="8">
        <f>ROUND(((G11*0.55)/1.18),0)</f>
        <v>36775</v>
      </c>
      <c r="E11" s="8">
        <f t="shared" si="0"/>
        <v>53491</v>
      </c>
      <c r="F11" s="8">
        <f t="shared" si="1"/>
        <v>66864</v>
      </c>
      <c r="G11" s="5" t="s">
        <v>28</v>
      </c>
      <c r="H11" s="15">
        <f t="shared" si="2"/>
        <v>0.25000467368342338</v>
      </c>
      <c r="I11" s="15">
        <f t="shared" si="3"/>
        <v>0.81819170632222982</v>
      </c>
    </row>
    <row r="12" spans="1:9" x14ac:dyDescent="0.3">
      <c r="A12" s="5"/>
      <c r="B12" s="11" t="s">
        <v>29</v>
      </c>
      <c r="C12" s="6"/>
      <c r="D12" s="8"/>
      <c r="E12" s="8"/>
      <c r="F12" s="8"/>
      <c r="G12" s="5"/>
      <c r="H12" s="15"/>
      <c r="I12" s="15"/>
    </row>
    <row r="13" spans="1:9" ht="75" x14ac:dyDescent="0.3">
      <c r="A13" s="5" t="s">
        <v>172</v>
      </c>
      <c r="B13" s="10" t="s">
        <v>30</v>
      </c>
      <c r="C13" s="6" t="s">
        <v>31</v>
      </c>
      <c r="D13" s="8">
        <f>ROUND(((G13*0.55)/1.18),0)</f>
        <v>17199</v>
      </c>
      <c r="E13" s="8">
        <f t="shared" si="0"/>
        <v>25017</v>
      </c>
      <c r="F13" s="8">
        <f t="shared" si="1"/>
        <v>31271</v>
      </c>
      <c r="G13" s="5" t="s">
        <v>32</v>
      </c>
      <c r="H13" s="15">
        <f t="shared" si="2"/>
        <v>0.24999000679537914</v>
      </c>
      <c r="I13" s="15">
        <f t="shared" si="3"/>
        <v>0.8181871039013896</v>
      </c>
    </row>
    <row r="14" spans="1:9" ht="75" x14ac:dyDescent="0.3">
      <c r="A14" s="5" t="s">
        <v>172</v>
      </c>
      <c r="B14" s="10" t="s">
        <v>33</v>
      </c>
      <c r="C14" s="6" t="s">
        <v>34</v>
      </c>
      <c r="D14" s="8">
        <f>ROUND(((G14*0.55)/1.18),0)</f>
        <v>22792</v>
      </c>
      <c r="E14" s="8">
        <f t="shared" si="0"/>
        <v>33153</v>
      </c>
      <c r="F14" s="8">
        <f t="shared" si="1"/>
        <v>41441</v>
      </c>
      <c r="G14" s="5" t="s">
        <v>35</v>
      </c>
      <c r="H14" s="15">
        <f t="shared" si="2"/>
        <v>0.24999245920429525</v>
      </c>
      <c r="I14" s="15">
        <f t="shared" si="3"/>
        <v>0.81822569322569327</v>
      </c>
    </row>
    <row r="15" spans="1:9" x14ac:dyDescent="0.3">
      <c r="A15" s="5"/>
      <c r="B15" s="11" t="s">
        <v>36</v>
      </c>
      <c r="C15" s="6"/>
      <c r="D15" s="8"/>
      <c r="E15" s="8"/>
      <c r="F15" s="8"/>
      <c r="G15" s="5"/>
      <c r="H15" s="15"/>
      <c r="I15" s="15"/>
    </row>
    <row r="16" spans="1:9" ht="25" x14ac:dyDescent="0.3">
      <c r="A16" s="5" t="s">
        <v>172</v>
      </c>
      <c r="B16" s="10" t="s">
        <v>37</v>
      </c>
      <c r="C16" s="6" t="s">
        <v>38</v>
      </c>
      <c r="D16" s="8">
        <f>ROUND(((G16*0.55)/1.18),0)</f>
        <v>17199</v>
      </c>
      <c r="E16" s="8">
        <f t="shared" si="0"/>
        <v>25017</v>
      </c>
      <c r="F16" s="8">
        <f t="shared" si="1"/>
        <v>31271</v>
      </c>
      <c r="G16" s="5" t="s">
        <v>32</v>
      </c>
      <c r="H16" s="15">
        <f t="shared" si="2"/>
        <v>0.24999000679537914</v>
      </c>
      <c r="I16" s="15">
        <f t="shared" si="3"/>
        <v>0.8181871039013896</v>
      </c>
    </row>
    <row r="17" spans="1:9" ht="25" x14ac:dyDescent="0.3">
      <c r="A17" s="5" t="s">
        <v>172</v>
      </c>
      <c r="B17" s="10" t="s">
        <v>39</v>
      </c>
      <c r="C17" s="6" t="s">
        <v>40</v>
      </c>
      <c r="D17" s="8">
        <f>ROUND(((G17*0.55)/1.18),0)</f>
        <v>23258</v>
      </c>
      <c r="E17" s="8">
        <f t="shared" si="0"/>
        <v>33830</v>
      </c>
      <c r="F17" s="8">
        <f t="shared" si="1"/>
        <v>42288</v>
      </c>
      <c r="G17" s="5" t="s">
        <v>19</v>
      </c>
      <c r="H17" s="15">
        <f t="shared" si="2"/>
        <v>0.25001477978125924</v>
      </c>
      <c r="I17" s="15">
        <f t="shared" si="3"/>
        <v>0.8182130879697308</v>
      </c>
    </row>
    <row r="18" spans="1:9" ht="25" x14ac:dyDescent="0.3">
      <c r="A18" s="5" t="s">
        <v>172</v>
      </c>
      <c r="B18" s="10" t="s">
        <v>41</v>
      </c>
      <c r="C18" s="6" t="s">
        <v>42</v>
      </c>
      <c r="D18" s="8">
        <f>ROUND(((G18*0.55)/1.18),0)</f>
        <v>22792</v>
      </c>
      <c r="E18" s="8">
        <f t="shared" si="0"/>
        <v>33153</v>
      </c>
      <c r="F18" s="8">
        <f t="shared" si="1"/>
        <v>41441</v>
      </c>
      <c r="G18" s="5" t="s">
        <v>35</v>
      </c>
      <c r="H18" s="15">
        <f t="shared" si="2"/>
        <v>0.24999245920429525</v>
      </c>
      <c r="I18" s="15">
        <f t="shared" si="3"/>
        <v>0.81822569322569327</v>
      </c>
    </row>
    <row r="19" spans="1:9" ht="25" x14ac:dyDescent="0.3">
      <c r="A19" s="5" t="s">
        <v>172</v>
      </c>
      <c r="B19" s="10" t="s">
        <v>43</v>
      </c>
      <c r="C19" s="6" t="s">
        <v>44</v>
      </c>
      <c r="D19" s="8">
        <f>ROUND(((G19*0.55)/1.18),0)</f>
        <v>32581</v>
      </c>
      <c r="E19" s="8">
        <f t="shared" si="0"/>
        <v>47390</v>
      </c>
      <c r="F19" s="8">
        <f t="shared" si="1"/>
        <v>59237</v>
      </c>
      <c r="G19" s="5" t="s">
        <v>45</v>
      </c>
      <c r="H19" s="15">
        <f t="shared" si="2"/>
        <v>0.24998944925089681</v>
      </c>
      <c r="I19" s="15">
        <f t="shared" si="3"/>
        <v>0.81814554494951042</v>
      </c>
    </row>
    <row r="20" spans="1:9" ht="25" x14ac:dyDescent="0.3">
      <c r="A20" s="5" t="s">
        <v>172</v>
      </c>
      <c r="B20" s="10" t="s">
        <v>46</v>
      </c>
      <c r="C20" s="6" t="s">
        <v>47</v>
      </c>
      <c r="D20" s="8">
        <f>ROUND(((G20*0.55)/1.18),0)</f>
        <v>45165</v>
      </c>
      <c r="E20" s="8">
        <f t="shared" si="0"/>
        <v>65695</v>
      </c>
      <c r="F20" s="8">
        <f t="shared" si="1"/>
        <v>82119</v>
      </c>
      <c r="G20" s="5" t="s">
        <v>48</v>
      </c>
      <c r="H20" s="15">
        <f t="shared" si="2"/>
        <v>0.25000380546464723</v>
      </c>
      <c r="I20" s="15">
        <f t="shared" si="3"/>
        <v>0.81819993357688481</v>
      </c>
    </row>
    <row r="21" spans="1:9" ht="25" x14ac:dyDescent="0.3">
      <c r="A21" s="5" t="s">
        <v>172</v>
      </c>
      <c r="B21" s="10" t="s">
        <v>49</v>
      </c>
      <c r="C21" s="6" t="s">
        <v>50</v>
      </c>
      <c r="D21" s="8">
        <f>ROUND(((G21*0.55)/1.18),0)</f>
        <v>46564</v>
      </c>
      <c r="E21" s="8">
        <f t="shared" si="0"/>
        <v>67729</v>
      </c>
      <c r="F21" s="8">
        <f t="shared" si="1"/>
        <v>84661</v>
      </c>
      <c r="G21" s="5" t="s">
        <v>51</v>
      </c>
      <c r="H21" s="15">
        <f t="shared" si="2"/>
        <v>0.24999630881896973</v>
      </c>
      <c r="I21" s="15">
        <f t="shared" si="3"/>
        <v>0.81816424705781288</v>
      </c>
    </row>
    <row r="22" spans="1:9" ht="25" x14ac:dyDescent="0.3">
      <c r="A22" s="5" t="s">
        <v>172</v>
      </c>
      <c r="B22" s="10" t="s">
        <v>52</v>
      </c>
      <c r="C22" s="6" t="s">
        <v>53</v>
      </c>
      <c r="D22" s="8">
        <f>ROUND(((G22*0.55)/1.18),0)</f>
        <v>51225</v>
      </c>
      <c r="E22" s="8">
        <f t="shared" si="0"/>
        <v>74509</v>
      </c>
      <c r="F22" s="8">
        <f t="shared" si="1"/>
        <v>93136</v>
      </c>
      <c r="G22" s="5" t="s">
        <v>54</v>
      </c>
      <c r="H22" s="15">
        <f t="shared" si="2"/>
        <v>0.2499966447006402</v>
      </c>
      <c r="I22" s="15">
        <f t="shared" si="3"/>
        <v>0.81817471937530506</v>
      </c>
    </row>
    <row r="23" spans="1:9" ht="25" x14ac:dyDescent="0.3">
      <c r="A23" s="5" t="s">
        <v>172</v>
      </c>
      <c r="B23" s="10" t="s">
        <v>55</v>
      </c>
      <c r="C23" s="6" t="s">
        <v>56</v>
      </c>
      <c r="D23" s="8">
        <f>ROUND(((G23*0.55)/1.18),0)</f>
        <v>60547</v>
      </c>
      <c r="E23" s="8">
        <f t="shared" si="0"/>
        <v>88068</v>
      </c>
      <c r="F23" s="8">
        <f t="shared" si="1"/>
        <v>110085</v>
      </c>
      <c r="G23" s="5" t="s">
        <v>57</v>
      </c>
      <c r="H23" s="15">
        <f t="shared" si="2"/>
        <v>0.25</v>
      </c>
      <c r="I23" s="15">
        <f t="shared" si="3"/>
        <v>0.81817431086593884</v>
      </c>
    </row>
    <row r="24" spans="1:9" ht="25" x14ac:dyDescent="0.3">
      <c r="A24" s="5" t="s">
        <v>172</v>
      </c>
      <c r="B24" s="10" t="s">
        <v>58</v>
      </c>
      <c r="C24" s="6" t="s">
        <v>59</v>
      </c>
      <c r="D24" s="8">
        <f>ROUND(((G24*0.55)/1.18),0)</f>
        <v>62877</v>
      </c>
      <c r="E24" s="8">
        <f t="shared" si="0"/>
        <v>91458</v>
      </c>
      <c r="F24" s="8">
        <f t="shared" si="1"/>
        <v>114322</v>
      </c>
      <c r="G24" s="5" t="s">
        <v>60</v>
      </c>
      <c r="H24" s="15">
        <f t="shared" si="2"/>
        <v>0.24999453300968752</v>
      </c>
      <c r="I24" s="15">
        <f t="shared" si="3"/>
        <v>0.81818470983030356</v>
      </c>
    </row>
    <row r="25" spans="1:9" x14ac:dyDescent="0.3">
      <c r="A25" s="5"/>
      <c r="B25" s="11" t="s">
        <v>61</v>
      </c>
      <c r="C25" s="6"/>
      <c r="D25" s="8"/>
      <c r="E25" s="8"/>
      <c r="F25" s="8"/>
      <c r="G25" s="5"/>
      <c r="H25" s="15"/>
      <c r="I25" s="15"/>
    </row>
    <row r="26" spans="1:9" ht="125" x14ac:dyDescent="0.3">
      <c r="A26" s="5" t="s">
        <v>172</v>
      </c>
      <c r="B26" s="10" t="s">
        <v>62</v>
      </c>
      <c r="C26" s="6" t="s">
        <v>63</v>
      </c>
      <c r="D26" s="8">
        <f>ROUND(((G26*0.55)/1.18),0)</f>
        <v>25589</v>
      </c>
      <c r="E26" s="8">
        <f t="shared" si="0"/>
        <v>37220</v>
      </c>
      <c r="F26" s="8">
        <f t="shared" si="1"/>
        <v>46525</v>
      </c>
      <c r="G26" s="5" t="s">
        <v>64</v>
      </c>
      <c r="H26" s="15">
        <f t="shared" si="2"/>
        <v>0.25</v>
      </c>
      <c r="I26" s="15">
        <f t="shared" si="3"/>
        <v>0.8181640548673258</v>
      </c>
    </row>
    <row r="27" spans="1:9" ht="125" x14ac:dyDescent="0.3">
      <c r="A27" s="5" t="s">
        <v>172</v>
      </c>
      <c r="B27" s="10" t="s">
        <v>65</v>
      </c>
      <c r="C27" s="6" t="s">
        <v>66</v>
      </c>
      <c r="D27" s="8">
        <f>ROUND(((G27*0.55)/1.18),0)</f>
        <v>27919</v>
      </c>
      <c r="E27" s="8">
        <f t="shared" si="0"/>
        <v>40610</v>
      </c>
      <c r="F27" s="8">
        <f t="shared" si="1"/>
        <v>50763</v>
      </c>
      <c r="G27" s="5" t="s">
        <v>67</v>
      </c>
      <c r="H27" s="15">
        <f t="shared" si="2"/>
        <v>0.25001231223836495</v>
      </c>
      <c r="I27" s="15">
        <f t="shared" si="3"/>
        <v>0.81822414842938496</v>
      </c>
    </row>
    <row r="28" spans="1:9" ht="125" x14ac:dyDescent="0.3">
      <c r="A28" s="5" t="s">
        <v>172</v>
      </c>
      <c r="B28" s="10" t="s">
        <v>68</v>
      </c>
      <c r="C28" s="6" t="s">
        <v>69</v>
      </c>
      <c r="D28" s="8">
        <f>ROUND(((G28*0.55)/1.18),0)</f>
        <v>30716</v>
      </c>
      <c r="E28" s="8">
        <f t="shared" si="0"/>
        <v>44678</v>
      </c>
      <c r="F28" s="8">
        <f t="shared" si="1"/>
        <v>55847</v>
      </c>
      <c r="G28" s="5" t="s">
        <v>70</v>
      </c>
      <c r="H28" s="15">
        <f t="shared" si="2"/>
        <v>0.249988808809705</v>
      </c>
      <c r="I28" s="15">
        <f t="shared" si="3"/>
        <v>0.81817293918478973</v>
      </c>
    </row>
    <row r="29" spans="1:9" ht="150" x14ac:dyDescent="0.3">
      <c r="A29" s="5" t="s">
        <v>172</v>
      </c>
      <c r="B29" s="10" t="s">
        <v>71</v>
      </c>
      <c r="C29" s="6" t="s">
        <v>72</v>
      </c>
      <c r="D29" s="8">
        <f>ROUND(((G29*0.55)/1.18),0)</f>
        <v>33979</v>
      </c>
      <c r="E29" s="8">
        <f t="shared" si="0"/>
        <v>49424</v>
      </c>
      <c r="F29" s="8">
        <f t="shared" si="1"/>
        <v>61780</v>
      </c>
      <c r="G29" s="5" t="s">
        <v>73</v>
      </c>
      <c r="H29" s="15">
        <f t="shared" si="2"/>
        <v>0.25</v>
      </c>
      <c r="I29" s="15">
        <f t="shared" si="3"/>
        <v>0.81818181818181823</v>
      </c>
    </row>
    <row r="30" spans="1:9" x14ac:dyDescent="0.3">
      <c r="A30" s="5"/>
      <c r="B30" s="11" t="s">
        <v>74</v>
      </c>
      <c r="C30" s="6"/>
      <c r="D30" s="8"/>
      <c r="E30" s="8">
        <f t="shared" si="0"/>
        <v>0</v>
      </c>
      <c r="F30" s="8"/>
      <c r="G30" s="5"/>
      <c r="H30" s="15"/>
      <c r="I30" s="15"/>
    </row>
    <row r="31" spans="1:9" ht="50" x14ac:dyDescent="0.3">
      <c r="A31" s="5" t="s">
        <v>172</v>
      </c>
      <c r="B31" s="10" t="s">
        <v>75</v>
      </c>
      <c r="C31" s="6" t="s">
        <v>76</v>
      </c>
      <c r="D31" s="8">
        <f>ROUND(((G31*0.55)/1.18),0)</f>
        <v>23258</v>
      </c>
      <c r="E31" s="8">
        <f t="shared" si="0"/>
        <v>33830</v>
      </c>
      <c r="F31" s="8">
        <f t="shared" si="1"/>
        <v>42288</v>
      </c>
      <c r="G31" s="5" t="s">
        <v>19</v>
      </c>
      <c r="H31" s="15">
        <f t="shared" si="2"/>
        <v>0.25001477978125924</v>
      </c>
      <c r="I31" s="15">
        <f t="shared" si="3"/>
        <v>0.8182130879697308</v>
      </c>
    </row>
    <row r="32" spans="1:9" x14ac:dyDescent="0.3">
      <c r="A32" s="5"/>
      <c r="B32" s="11" t="s">
        <v>77</v>
      </c>
      <c r="C32" s="6"/>
      <c r="D32" s="8"/>
      <c r="E32" s="8"/>
      <c r="F32" s="8"/>
      <c r="G32" s="5"/>
      <c r="H32" s="15"/>
      <c r="I32" s="15"/>
    </row>
    <row r="33" spans="1:9" ht="175" x14ac:dyDescent="0.3">
      <c r="A33" s="5" t="s">
        <v>172</v>
      </c>
      <c r="B33" s="10" t="s">
        <v>78</v>
      </c>
      <c r="C33" s="6" t="s">
        <v>79</v>
      </c>
      <c r="D33" s="8">
        <f>ROUND(((G33*0.55)/1.18),0)</f>
        <v>7411</v>
      </c>
      <c r="E33" s="8">
        <f t="shared" si="0"/>
        <v>10780</v>
      </c>
      <c r="F33" s="8">
        <f t="shared" si="1"/>
        <v>13475</v>
      </c>
      <c r="G33" s="5" t="s">
        <v>80</v>
      </c>
      <c r="H33" s="15">
        <f t="shared" si="2"/>
        <v>0.25</v>
      </c>
      <c r="I33" s="15">
        <f t="shared" si="3"/>
        <v>0.81824315207124543</v>
      </c>
    </row>
    <row r="34" spans="1:9" ht="100" x14ac:dyDescent="0.3">
      <c r="A34" s="5" t="s">
        <v>172</v>
      </c>
      <c r="B34" s="10" t="s">
        <v>81</v>
      </c>
      <c r="C34" s="6" t="s">
        <v>82</v>
      </c>
      <c r="D34" s="8">
        <f>ROUND(((G34*0.55)/1.18),0)</f>
        <v>15801</v>
      </c>
      <c r="E34" s="8">
        <f t="shared" si="0"/>
        <v>22983</v>
      </c>
      <c r="F34" s="8">
        <f t="shared" si="1"/>
        <v>28729</v>
      </c>
      <c r="G34" s="5" t="s">
        <v>4</v>
      </c>
      <c r="H34" s="15">
        <f t="shared" si="2"/>
        <v>0.25001087760518642</v>
      </c>
      <c r="I34" s="15">
        <f t="shared" si="3"/>
        <v>0.81817606480602489</v>
      </c>
    </row>
    <row r="35" spans="1:9" ht="150" x14ac:dyDescent="0.3">
      <c r="A35" s="5" t="s">
        <v>172</v>
      </c>
      <c r="B35" s="10" t="s">
        <v>83</v>
      </c>
      <c r="C35" s="6" t="s">
        <v>84</v>
      </c>
      <c r="D35" s="8">
        <f>ROUND(((G35*0.55)/1.18),0)</f>
        <v>18597</v>
      </c>
      <c r="E35" s="8">
        <f t="shared" si="0"/>
        <v>27051</v>
      </c>
      <c r="F35" s="8">
        <f t="shared" si="1"/>
        <v>33814</v>
      </c>
      <c r="G35" s="5" t="s">
        <v>85</v>
      </c>
      <c r="H35" s="15">
        <f t="shared" si="2"/>
        <v>0.25000924180252115</v>
      </c>
      <c r="I35" s="15">
        <f t="shared" si="3"/>
        <v>0.81825025541754048</v>
      </c>
    </row>
    <row r="36" spans="1:9" ht="175" x14ac:dyDescent="0.3">
      <c r="A36" s="5" t="s">
        <v>172</v>
      </c>
      <c r="B36" s="10" t="s">
        <v>86</v>
      </c>
      <c r="C36" s="6" t="s">
        <v>87</v>
      </c>
      <c r="D36" s="8">
        <f>ROUND(((G36*0.55)/1.18),0)</f>
        <v>21860</v>
      </c>
      <c r="E36" s="8">
        <f t="shared" si="0"/>
        <v>31797</v>
      </c>
      <c r="F36" s="8">
        <f t="shared" si="1"/>
        <v>39746</v>
      </c>
      <c r="G36" s="5" t="s">
        <v>88</v>
      </c>
      <c r="H36" s="15">
        <f t="shared" si="2"/>
        <v>0.2499921376230462</v>
      </c>
      <c r="I36" s="15">
        <f t="shared" si="3"/>
        <v>0.8182067703568161</v>
      </c>
    </row>
    <row r="37" spans="1:9" x14ac:dyDescent="0.3">
      <c r="A37" s="5"/>
      <c r="B37" s="11" t="s">
        <v>89</v>
      </c>
      <c r="C37" s="6"/>
      <c r="D37" s="8"/>
      <c r="E37" s="8"/>
      <c r="F37" s="8"/>
      <c r="G37" s="5"/>
      <c r="H37" s="15"/>
      <c r="I37" s="15"/>
    </row>
    <row r="38" spans="1:9" ht="100" x14ac:dyDescent="0.3">
      <c r="A38" s="5" t="s">
        <v>172</v>
      </c>
      <c r="B38" s="10" t="s">
        <v>90</v>
      </c>
      <c r="C38" s="6" t="s">
        <v>91</v>
      </c>
      <c r="D38" s="8">
        <f>ROUND(((G38*0.55)/1.18),0)</f>
        <v>1161</v>
      </c>
      <c r="E38" s="8">
        <f t="shared" si="0"/>
        <v>1688</v>
      </c>
      <c r="F38" s="8">
        <f t="shared" si="1"/>
        <v>2110</v>
      </c>
      <c r="G38" s="5" t="s">
        <v>92</v>
      </c>
      <c r="H38" s="15">
        <f t="shared" si="2"/>
        <v>0.25</v>
      </c>
      <c r="I38" s="15">
        <f t="shared" si="3"/>
        <v>0.81739879414298022</v>
      </c>
    </row>
    <row r="39" spans="1:9" ht="50" x14ac:dyDescent="0.3">
      <c r="A39" s="5" t="s">
        <v>172</v>
      </c>
      <c r="B39" s="10" t="s">
        <v>93</v>
      </c>
      <c r="C39" s="6" t="s">
        <v>94</v>
      </c>
      <c r="D39" s="8">
        <f>ROUND(((G39*0.55)/1.18),0)</f>
        <v>825</v>
      </c>
      <c r="E39" s="8">
        <f t="shared" si="0"/>
        <v>1200</v>
      </c>
      <c r="F39" s="8">
        <f t="shared" si="1"/>
        <v>1500</v>
      </c>
      <c r="G39" s="5" t="s">
        <v>95</v>
      </c>
      <c r="H39" s="15">
        <f t="shared" si="2"/>
        <v>0.25</v>
      </c>
      <c r="I39" s="15">
        <f t="shared" si="3"/>
        <v>0.81818181818181823</v>
      </c>
    </row>
    <row r="40" spans="1:9" ht="75" x14ac:dyDescent="0.3">
      <c r="A40" s="5" t="s">
        <v>172</v>
      </c>
      <c r="B40" s="10" t="s">
        <v>96</v>
      </c>
      <c r="C40" s="6" t="s">
        <v>97</v>
      </c>
      <c r="D40" s="8">
        <f>ROUND(((G40*0.55)/1.18),0)</f>
        <v>1627</v>
      </c>
      <c r="E40" s="8">
        <f t="shared" si="0"/>
        <v>2366</v>
      </c>
      <c r="F40" s="8">
        <f t="shared" si="1"/>
        <v>2958</v>
      </c>
      <c r="G40" s="5" t="s">
        <v>98</v>
      </c>
      <c r="H40" s="15">
        <f t="shared" si="2"/>
        <v>0.25021132713440408</v>
      </c>
      <c r="I40" s="15">
        <f t="shared" si="3"/>
        <v>0.81807006760909651</v>
      </c>
    </row>
    <row r="41" spans="1:9" ht="75" x14ac:dyDescent="0.3">
      <c r="A41" s="5" t="s">
        <v>172</v>
      </c>
      <c r="B41" s="10" t="s">
        <v>99</v>
      </c>
      <c r="C41" s="6" t="s">
        <v>100</v>
      </c>
      <c r="D41" s="8">
        <f>ROUND(((G41*0.55)/1.18),0)</f>
        <v>2792</v>
      </c>
      <c r="E41" s="8">
        <f t="shared" si="0"/>
        <v>4061</v>
      </c>
      <c r="F41" s="8">
        <f t="shared" si="1"/>
        <v>5076</v>
      </c>
      <c r="G41" s="5" t="s">
        <v>101</v>
      </c>
      <c r="H41" s="15">
        <f t="shared" si="2"/>
        <v>0.24993843880817532</v>
      </c>
      <c r="I41" s="15">
        <f t="shared" si="3"/>
        <v>0.81805157593123212</v>
      </c>
    </row>
    <row r="42" spans="1:9" ht="75" x14ac:dyDescent="0.3">
      <c r="A42" s="5" t="s">
        <v>172</v>
      </c>
      <c r="B42" s="10" t="s">
        <v>102</v>
      </c>
      <c r="C42" s="6" t="s">
        <v>103</v>
      </c>
      <c r="D42" s="8">
        <f>ROUND(((G42*0.55)/1.18),0)</f>
        <v>2466</v>
      </c>
      <c r="E42" s="8">
        <f t="shared" si="0"/>
        <v>3586</v>
      </c>
      <c r="F42" s="8">
        <f t="shared" si="1"/>
        <v>4483</v>
      </c>
      <c r="G42" s="5" t="s">
        <v>104</v>
      </c>
      <c r="H42" s="15">
        <f t="shared" si="2"/>
        <v>0.25013943112102621</v>
      </c>
      <c r="I42" s="15">
        <f t="shared" si="3"/>
        <v>0.81792376317923765</v>
      </c>
    </row>
    <row r="43" spans="1:9" ht="100" x14ac:dyDescent="0.3">
      <c r="A43" s="5" t="s">
        <v>172</v>
      </c>
      <c r="B43" s="10" t="s">
        <v>105</v>
      </c>
      <c r="C43" s="6" t="s">
        <v>106</v>
      </c>
      <c r="D43" s="8">
        <f>ROUND(((G43*0.55)/1.18),0)</f>
        <v>2699</v>
      </c>
      <c r="E43" s="8">
        <f t="shared" si="0"/>
        <v>3926</v>
      </c>
      <c r="F43" s="8">
        <f t="shared" si="1"/>
        <v>4907</v>
      </c>
      <c r="G43" s="5" t="s">
        <v>107</v>
      </c>
      <c r="H43" s="15">
        <f t="shared" si="2"/>
        <v>0.24987264391237901</v>
      </c>
      <c r="I43" s="15">
        <f t="shared" si="3"/>
        <v>0.81808077065579843</v>
      </c>
    </row>
    <row r="44" spans="1:9" ht="50" x14ac:dyDescent="0.3">
      <c r="A44" s="5"/>
      <c r="B44" s="12" t="s">
        <v>174</v>
      </c>
      <c r="C44" s="6"/>
      <c r="D44" s="8"/>
      <c r="E44" s="8"/>
      <c r="F44" s="8"/>
      <c r="G44" s="5"/>
      <c r="H44" s="15"/>
      <c r="I44" s="15"/>
    </row>
    <row r="45" spans="1:9" ht="25" x14ac:dyDescent="0.3">
      <c r="A45" s="5" t="s">
        <v>172</v>
      </c>
      <c r="B45" s="10" t="s">
        <v>108</v>
      </c>
      <c r="C45" s="6" t="s">
        <v>109</v>
      </c>
      <c r="D45" s="8">
        <f>ROUND(((G45*0.55)/1.18),0)</f>
        <v>2699</v>
      </c>
      <c r="E45" s="8">
        <f t="shared" si="0"/>
        <v>3926</v>
      </c>
      <c r="F45" s="8">
        <f t="shared" si="1"/>
        <v>4907</v>
      </c>
      <c r="G45" s="5" t="s">
        <v>107</v>
      </c>
      <c r="H45" s="15">
        <f t="shared" si="2"/>
        <v>0.24987264391237901</v>
      </c>
      <c r="I45" s="15">
        <f t="shared" si="3"/>
        <v>0.81808077065579843</v>
      </c>
    </row>
    <row r="46" spans="1:9" x14ac:dyDescent="0.3">
      <c r="A46" s="5"/>
      <c r="B46" s="11" t="s">
        <v>110</v>
      </c>
      <c r="C46" s="6"/>
      <c r="D46" s="8"/>
      <c r="E46" s="8"/>
      <c r="F46" s="8"/>
      <c r="G46" s="5"/>
      <c r="H46" s="15"/>
      <c r="I46" s="15"/>
    </row>
    <row r="47" spans="1:9" ht="50" x14ac:dyDescent="0.3">
      <c r="A47" s="5" t="s">
        <v>172</v>
      </c>
      <c r="B47" s="10" t="s">
        <v>111</v>
      </c>
      <c r="C47" s="6" t="s">
        <v>112</v>
      </c>
      <c r="D47" s="8">
        <f>ROUND(((G47*0.55)/1.18),0)</f>
        <v>10208</v>
      </c>
      <c r="E47" s="8">
        <f t="shared" si="0"/>
        <v>14847</v>
      </c>
      <c r="F47" s="8">
        <f t="shared" si="1"/>
        <v>18559</v>
      </c>
      <c r="G47" s="5" t="s">
        <v>113</v>
      </c>
      <c r="H47" s="15">
        <f t="shared" si="2"/>
        <v>0.25001683841853573</v>
      </c>
      <c r="I47" s="15">
        <f t="shared" si="3"/>
        <v>0.81808385579937304</v>
      </c>
    </row>
    <row r="48" spans="1:9" ht="50" x14ac:dyDescent="0.3">
      <c r="A48" s="5" t="s">
        <v>172</v>
      </c>
      <c r="B48" s="10" t="s">
        <v>114</v>
      </c>
      <c r="C48" s="6" t="s">
        <v>115</v>
      </c>
      <c r="D48" s="8">
        <f>ROUND(((G48*0.55)/1.18),0)</f>
        <v>11606</v>
      </c>
      <c r="E48" s="8">
        <f t="shared" si="0"/>
        <v>16882</v>
      </c>
      <c r="F48" s="8">
        <f t="shared" si="1"/>
        <v>21102</v>
      </c>
      <c r="G48" s="5" t="s">
        <v>116</v>
      </c>
      <c r="H48" s="15">
        <f t="shared" si="2"/>
        <v>0.2499703826560834</v>
      </c>
      <c r="I48" s="15">
        <f t="shared" si="3"/>
        <v>0.81819748405996895</v>
      </c>
    </row>
    <row r="49" spans="1:9" ht="50" x14ac:dyDescent="0.3">
      <c r="A49" s="5" t="s">
        <v>172</v>
      </c>
      <c r="B49" s="10" t="s">
        <v>117</v>
      </c>
      <c r="C49" s="6" t="s">
        <v>112</v>
      </c>
      <c r="D49" s="8">
        <f>ROUND(((G49*0.55)/1.18),0)</f>
        <v>11606</v>
      </c>
      <c r="E49" s="8">
        <f t="shared" si="0"/>
        <v>16882</v>
      </c>
      <c r="F49" s="8">
        <f t="shared" si="1"/>
        <v>21102</v>
      </c>
      <c r="G49" s="5" t="s">
        <v>116</v>
      </c>
      <c r="H49" s="15">
        <f t="shared" si="2"/>
        <v>0.2499703826560834</v>
      </c>
      <c r="I49" s="15">
        <f t="shared" si="3"/>
        <v>0.81819748405996895</v>
      </c>
    </row>
    <row r="50" spans="1:9" x14ac:dyDescent="0.3">
      <c r="A50" s="5"/>
      <c r="B50" s="11" t="s">
        <v>118</v>
      </c>
      <c r="C50" s="6"/>
      <c r="D50" s="8"/>
      <c r="E50" s="8"/>
      <c r="F50" s="8"/>
      <c r="G50" s="5"/>
      <c r="H50" s="15"/>
      <c r="I50" s="15"/>
    </row>
    <row r="51" spans="1:9" ht="25" x14ac:dyDescent="0.3">
      <c r="A51" s="5" t="s">
        <v>172</v>
      </c>
      <c r="B51" s="10" t="s">
        <v>119</v>
      </c>
      <c r="C51" s="6" t="s">
        <v>120</v>
      </c>
      <c r="D51" s="8">
        <f>ROUND(((G51*0.55)/1.18),0)</f>
        <v>53131</v>
      </c>
      <c r="E51" s="8">
        <f t="shared" si="0"/>
        <v>77282</v>
      </c>
      <c r="F51" s="8">
        <f t="shared" si="1"/>
        <v>96602</v>
      </c>
      <c r="G51" s="5" t="s">
        <v>121</v>
      </c>
      <c r="H51" s="15">
        <f t="shared" si="2"/>
        <v>0.24999353018814213</v>
      </c>
      <c r="I51" s="15">
        <f t="shared" si="3"/>
        <v>0.81818524025521822</v>
      </c>
    </row>
    <row r="52" spans="1:9" ht="25" x14ac:dyDescent="0.3">
      <c r="A52" s="5" t="s">
        <v>172</v>
      </c>
      <c r="B52" s="10" t="s">
        <v>122</v>
      </c>
      <c r="C52" s="6" t="s">
        <v>123</v>
      </c>
      <c r="D52" s="8">
        <f>ROUND(((G52*0.55)/1.18),0)</f>
        <v>75038</v>
      </c>
      <c r="E52" s="8">
        <f t="shared" si="0"/>
        <v>109146</v>
      </c>
      <c r="F52" s="8">
        <f t="shared" si="1"/>
        <v>136432</v>
      </c>
      <c r="G52" s="5" t="s">
        <v>124</v>
      </c>
      <c r="H52" s="15">
        <f t="shared" si="2"/>
        <v>0.24999541898008174</v>
      </c>
      <c r="I52" s="15">
        <f t="shared" si="3"/>
        <v>0.81817212612276446</v>
      </c>
    </row>
    <row r="53" spans="1:9" ht="25" x14ac:dyDescent="0.3">
      <c r="A53" s="5" t="s">
        <v>172</v>
      </c>
      <c r="B53" s="10" t="s">
        <v>125</v>
      </c>
      <c r="C53" s="6" t="s">
        <v>126</v>
      </c>
      <c r="D53" s="8">
        <f>ROUND(((G53*0.55)/1.18),0)</f>
        <v>99741</v>
      </c>
      <c r="E53" s="8">
        <f t="shared" si="0"/>
        <v>145078</v>
      </c>
      <c r="F53" s="8">
        <f t="shared" si="1"/>
        <v>181347</v>
      </c>
      <c r="G53" s="5" t="s">
        <v>127</v>
      </c>
      <c r="H53" s="15">
        <f t="shared" si="2"/>
        <v>0.24999655357807524</v>
      </c>
      <c r="I53" s="15">
        <f t="shared" si="3"/>
        <v>0.81817908382711224</v>
      </c>
    </row>
    <row r="54" spans="1:9" x14ac:dyDescent="0.3">
      <c r="A54" s="5"/>
      <c r="B54" s="11" t="s">
        <v>128</v>
      </c>
      <c r="C54" s="6"/>
      <c r="D54" s="8"/>
      <c r="E54" s="8"/>
      <c r="F54" s="8"/>
      <c r="G54" s="5"/>
      <c r="H54" s="15"/>
      <c r="I54" s="15"/>
    </row>
    <row r="55" spans="1:9" ht="25" x14ac:dyDescent="0.3">
      <c r="A55" s="5" t="s">
        <v>172</v>
      </c>
      <c r="B55" s="10" t="s">
        <v>129</v>
      </c>
      <c r="C55" s="6" t="s">
        <v>130</v>
      </c>
      <c r="D55" s="8">
        <f>ROUND(((G55*0.55)/1.18),0)</f>
        <v>13046</v>
      </c>
      <c r="E55" s="8">
        <f t="shared" si="0"/>
        <v>18976</v>
      </c>
      <c r="F55" s="8">
        <f t="shared" si="1"/>
        <v>23720</v>
      </c>
      <c r="G55" s="5" t="s">
        <v>131</v>
      </c>
      <c r="H55" s="15">
        <f t="shared" si="2"/>
        <v>0.25</v>
      </c>
      <c r="I55" s="15">
        <f t="shared" si="3"/>
        <v>0.81818181818181823</v>
      </c>
    </row>
    <row r="56" spans="1:9" ht="25" x14ac:dyDescent="0.3">
      <c r="A56" s="5" t="s">
        <v>172</v>
      </c>
      <c r="B56" s="10" t="s">
        <v>132</v>
      </c>
      <c r="C56" s="6" t="s">
        <v>133</v>
      </c>
      <c r="D56" s="8">
        <f>ROUND(((G56*0.55)/1.18),0)</f>
        <v>29360</v>
      </c>
      <c r="E56" s="8">
        <f t="shared" si="0"/>
        <v>42705</v>
      </c>
      <c r="F56" s="8">
        <f t="shared" si="1"/>
        <v>53381</v>
      </c>
      <c r="G56" s="5" t="s">
        <v>134</v>
      </c>
      <c r="H56" s="15">
        <f t="shared" si="2"/>
        <v>0.24999414588455685</v>
      </c>
      <c r="I56" s="15">
        <f t="shared" si="3"/>
        <v>0.81815395095367849</v>
      </c>
    </row>
    <row r="57" spans="1:9" ht="25" x14ac:dyDescent="0.3">
      <c r="A57" s="5" t="s">
        <v>172</v>
      </c>
      <c r="B57" s="10" t="s">
        <v>135</v>
      </c>
      <c r="C57" s="6" t="s">
        <v>136</v>
      </c>
      <c r="D57" s="8">
        <f>ROUND(((G57*0.55)/1.18),0)</f>
        <v>34021</v>
      </c>
      <c r="E57" s="8">
        <f t="shared" si="0"/>
        <v>49485</v>
      </c>
      <c r="F57" s="8">
        <f t="shared" si="1"/>
        <v>61856</v>
      </c>
      <c r="G57" s="5" t="s">
        <v>137</v>
      </c>
      <c r="H57" s="15">
        <f t="shared" si="2"/>
        <v>0.24999494796402949</v>
      </c>
      <c r="I57" s="15">
        <f t="shared" si="3"/>
        <v>0.81817112959642568</v>
      </c>
    </row>
    <row r="58" spans="1:9" x14ac:dyDescent="0.3">
      <c r="A58" s="5"/>
      <c r="B58" s="11" t="s">
        <v>138</v>
      </c>
      <c r="C58" s="6"/>
      <c r="D58" s="8"/>
      <c r="E58" s="8"/>
      <c r="F58" s="8"/>
      <c r="G58" s="5"/>
      <c r="H58" s="15"/>
      <c r="I58" s="15"/>
    </row>
    <row r="59" spans="1:9" ht="25" x14ac:dyDescent="0.3">
      <c r="A59" s="5" t="s">
        <v>172</v>
      </c>
      <c r="B59" s="10" t="s">
        <v>139</v>
      </c>
      <c r="C59" s="6" t="s">
        <v>140</v>
      </c>
      <c r="D59" s="8">
        <f>ROUND(((G59*0.55)/1.18),0)</f>
        <v>31224</v>
      </c>
      <c r="E59" s="8">
        <f t="shared" si="0"/>
        <v>45417</v>
      </c>
      <c r="F59" s="8">
        <f t="shared" si="1"/>
        <v>56771</v>
      </c>
      <c r="G59" s="5" t="s">
        <v>141</v>
      </c>
      <c r="H59" s="15">
        <f t="shared" si="2"/>
        <v>0.24999449545324437</v>
      </c>
      <c r="I59" s="15">
        <f t="shared" si="3"/>
        <v>0.81818472969510636</v>
      </c>
    </row>
    <row r="60" spans="1:9" ht="25" x14ac:dyDescent="0.3">
      <c r="A60" s="5" t="s">
        <v>172</v>
      </c>
      <c r="B60" s="10" t="s">
        <v>142</v>
      </c>
      <c r="C60" s="6" t="s">
        <v>136</v>
      </c>
      <c r="D60" s="8">
        <f>ROUND(((G60*0.55)/1.18),0)</f>
        <v>39614</v>
      </c>
      <c r="E60" s="8">
        <f t="shared" si="0"/>
        <v>57620</v>
      </c>
      <c r="F60" s="8">
        <f t="shared" si="1"/>
        <v>72025</v>
      </c>
      <c r="G60" s="5" t="s">
        <v>143</v>
      </c>
      <c r="H60" s="15">
        <f t="shared" si="2"/>
        <v>0.25</v>
      </c>
      <c r="I60" s="15">
        <f t="shared" si="3"/>
        <v>0.81817034381784215</v>
      </c>
    </row>
    <row r="61" spans="1:9" x14ac:dyDescent="0.3">
      <c r="A61" s="5"/>
      <c r="B61" s="11" t="s">
        <v>144</v>
      </c>
      <c r="C61" s="6"/>
      <c r="D61" s="8"/>
      <c r="E61" s="8"/>
      <c r="F61" s="8"/>
      <c r="G61" s="5"/>
      <c r="H61" s="15"/>
      <c r="I61" s="15"/>
    </row>
    <row r="62" spans="1:9" ht="25" x14ac:dyDescent="0.3">
      <c r="A62" s="5" t="s">
        <v>172</v>
      </c>
      <c r="B62" s="10" t="s">
        <v>145</v>
      </c>
      <c r="C62" s="6" t="s">
        <v>146</v>
      </c>
      <c r="D62" s="8">
        <f>ROUND(((G62*0.55)/1.18),0)</f>
        <v>32114</v>
      </c>
      <c r="E62" s="8">
        <f t="shared" si="0"/>
        <v>46712</v>
      </c>
      <c r="F62" s="8">
        <f t="shared" si="1"/>
        <v>58390</v>
      </c>
      <c r="G62" s="5" t="s">
        <v>25</v>
      </c>
      <c r="H62" s="15">
        <f t="shared" si="2"/>
        <v>0.25</v>
      </c>
      <c r="I62" s="15">
        <f t="shared" si="3"/>
        <v>0.81821012642461233</v>
      </c>
    </row>
    <row r="63" spans="1:9" ht="25" x14ac:dyDescent="0.3">
      <c r="A63" s="5" t="s">
        <v>172</v>
      </c>
      <c r="B63" s="10" t="s">
        <v>147</v>
      </c>
      <c r="C63" s="6" t="s">
        <v>148</v>
      </c>
      <c r="D63" s="8">
        <f>ROUND(((G63*0.55)/1.18),0)</f>
        <v>35885</v>
      </c>
      <c r="E63" s="8">
        <f t="shared" si="0"/>
        <v>52197</v>
      </c>
      <c r="F63" s="8">
        <f t="shared" si="1"/>
        <v>65246</v>
      </c>
      <c r="G63" s="5" t="s">
        <v>149</v>
      </c>
      <c r="H63" s="15">
        <f t="shared" si="2"/>
        <v>0.24999521045270801</v>
      </c>
      <c r="I63" s="15">
        <f t="shared" si="3"/>
        <v>0.81819701825275182</v>
      </c>
    </row>
    <row r="64" spans="1:9" ht="25" x14ac:dyDescent="0.3">
      <c r="A64" s="5" t="s">
        <v>172</v>
      </c>
      <c r="B64" s="10" t="s">
        <v>150</v>
      </c>
      <c r="C64" s="6" t="s">
        <v>151</v>
      </c>
      <c r="D64" s="8">
        <f>ROUND(((G64*0.55)/1.18),0)</f>
        <v>46606</v>
      </c>
      <c r="E64" s="8">
        <f t="shared" si="0"/>
        <v>67790</v>
      </c>
      <c r="F64" s="8">
        <f t="shared" si="1"/>
        <v>84737</v>
      </c>
      <c r="G64" s="5" t="s">
        <v>152</v>
      </c>
      <c r="H64" s="15">
        <f t="shared" si="2"/>
        <v>0.24999262428086738</v>
      </c>
      <c r="I64" s="15">
        <f t="shared" si="3"/>
        <v>0.81815646054156121</v>
      </c>
    </row>
    <row r="65" spans="1:9" ht="25" x14ac:dyDescent="0.3">
      <c r="A65" s="5" t="s">
        <v>172</v>
      </c>
      <c r="B65" s="10" t="s">
        <v>153</v>
      </c>
      <c r="C65" s="6" t="s">
        <v>154</v>
      </c>
      <c r="D65" s="8">
        <f>ROUND(((G65*0.55)/1.18),0)</f>
        <v>60122</v>
      </c>
      <c r="E65" s="8">
        <f t="shared" si="0"/>
        <v>87451</v>
      </c>
      <c r="F65" s="8">
        <f t="shared" si="1"/>
        <v>109314</v>
      </c>
      <c r="G65" s="5" t="s">
        <v>155</v>
      </c>
      <c r="H65" s="15">
        <f t="shared" si="2"/>
        <v>0.25000285874375366</v>
      </c>
      <c r="I65" s="15">
        <f t="shared" si="3"/>
        <v>0.81820298725923957</v>
      </c>
    </row>
    <row r="66" spans="1:9" ht="25" x14ac:dyDescent="0.3">
      <c r="A66" s="5" t="s">
        <v>172</v>
      </c>
      <c r="B66" s="10" t="s">
        <v>156</v>
      </c>
      <c r="C66" s="6" t="s">
        <v>157</v>
      </c>
      <c r="D66" s="8">
        <f>ROUND(((G66*0.55)/1.18),0)</f>
        <v>81563</v>
      </c>
      <c r="E66" s="8">
        <f t="shared" si="0"/>
        <v>118638</v>
      </c>
      <c r="F66" s="8">
        <f t="shared" si="1"/>
        <v>148297</v>
      </c>
      <c r="G66" s="5" t="s">
        <v>158</v>
      </c>
      <c r="H66" s="15">
        <f t="shared" si="2"/>
        <v>0.24999578549874407</v>
      </c>
      <c r="I66" s="15">
        <f t="shared" si="3"/>
        <v>0.8181896202935155</v>
      </c>
    </row>
    <row r="67" spans="1:9" x14ac:dyDescent="0.3">
      <c r="A67" s="5"/>
      <c r="B67" s="11" t="s">
        <v>159</v>
      </c>
      <c r="C67" s="6"/>
      <c r="D67" s="8"/>
      <c r="E67" s="8"/>
      <c r="F67" s="8"/>
      <c r="G67" s="5"/>
      <c r="H67" s="15"/>
      <c r="I67" s="15"/>
    </row>
    <row r="68" spans="1:9" ht="25" x14ac:dyDescent="0.3">
      <c r="A68" s="5" t="s">
        <v>172</v>
      </c>
      <c r="B68" s="10" t="s">
        <v>160</v>
      </c>
      <c r="C68" s="6" t="s">
        <v>146</v>
      </c>
      <c r="D68" s="8">
        <f t="shared" ref="D68:D72" si="4">ROUND(((G68*0.55)/1.18),0)</f>
        <v>46606</v>
      </c>
      <c r="E68" s="8">
        <f t="shared" ref="E68:E72" si="5">ROUND((F68*0.8),0)</f>
        <v>67790</v>
      </c>
      <c r="F68" s="8">
        <f t="shared" ref="F68:F72" si="6">ROUND((G68/1.18),0)</f>
        <v>84737</v>
      </c>
      <c r="G68" s="5" t="s">
        <v>152</v>
      </c>
      <c r="H68" s="15">
        <f t="shared" ref="H68:H72" si="7">(F68-E68)/E68</f>
        <v>0.24999262428086738</v>
      </c>
      <c r="I68" s="15">
        <f t="shared" ref="I68:I72" si="8">(F68-D68)/D68</f>
        <v>0.81815646054156121</v>
      </c>
    </row>
    <row r="69" spans="1:9" ht="25" x14ac:dyDescent="0.3">
      <c r="A69" s="5" t="s">
        <v>172</v>
      </c>
      <c r="B69" s="10" t="s">
        <v>161</v>
      </c>
      <c r="C69" s="6" t="s">
        <v>148</v>
      </c>
      <c r="D69" s="8">
        <f t="shared" si="4"/>
        <v>63385</v>
      </c>
      <c r="E69" s="8">
        <f t="shared" si="5"/>
        <v>92197</v>
      </c>
      <c r="F69" s="8">
        <f t="shared" si="6"/>
        <v>115246</v>
      </c>
      <c r="G69" s="5" t="s">
        <v>162</v>
      </c>
      <c r="H69" s="15">
        <f t="shared" si="7"/>
        <v>0.24999728841502436</v>
      </c>
      <c r="I69" s="15">
        <f t="shared" si="8"/>
        <v>0.8181904236017985</v>
      </c>
    </row>
    <row r="70" spans="1:9" ht="25" x14ac:dyDescent="0.3">
      <c r="A70" s="5" t="s">
        <v>172</v>
      </c>
      <c r="B70" s="10" t="s">
        <v>163</v>
      </c>
      <c r="C70" s="6" t="s">
        <v>164</v>
      </c>
      <c r="D70" s="8">
        <f t="shared" si="4"/>
        <v>73639</v>
      </c>
      <c r="E70" s="8">
        <f t="shared" si="5"/>
        <v>107112</v>
      </c>
      <c r="F70" s="8">
        <f t="shared" si="6"/>
        <v>133890</v>
      </c>
      <c r="G70" s="5" t="s">
        <v>165</v>
      </c>
      <c r="H70" s="15">
        <f t="shared" si="7"/>
        <v>0.25</v>
      </c>
      <c r="I70" s="15">
        <f t="shared" si="8"/>
        <v>0.81819416341884055</v>
      </c>
    </row>
    <row r="71" spans="1:9" ht="25" x14ac:dyDescent="0.3">
      <c r="A71" s="5" t="s">
        <v>172</v>
      </c>
      <c r="B71" s="10" t="s">
        <v>166</v>
      </c>
      <c r="C71" s="6" t="s">
        <v>154</v>
      </c>
      <c r="D71" s="8">
        <f t="shared" si="4"/>
        <v>114656</v>
      </c>
      <c r="E71" s="8">
        <f t="shared" si="5"/>
        <v>166773</v>
      </c>
      <c r="F71" s="8">
        <f t="shared" si="6"/>
        <v>208466</v>
      </c>
      <c r="G71" s="5" t="s">
        <v>167</v>
      </c>
      <c r="H71" s="15">
        <f t="shared" si="7"/>
        <v>0.24999850095638981</v>
      </c>
      <c r="I71" s="15">
        <f t="shared" si="8"/>
        <v>0.81818657549539497</v>
      </c>
    </row>
    <row r="72" spans="1:9" ht="25" x14ac:dyDescent="0.3">
      <c r="A72" s="5" t="s">
        <v>172</v>
      </c>
      <c r="B72" s="10" t="s">
        <v>168</v>
      </c>
      <c r="C72" s="6" t="s">
        <v>169</v>
      </c>
      <c r="D72" s="8">
        <f t="shared" si="4"/>
        <v>135165</v>
      </c>
      <c r="E72" s="8">
        <f t="shared" si="5"/>
        <v>196603</v>
      </c>
      <c r="F72" s="8">
        <f t="shared" si="6"/>
        <v>245754</v>
      </c>
      <c r="G72" s="5" t="s">
        <v>170</v>
      </c>
      <c r="H72" s="15">
        <f t="shared" si="7"/>
        <v>0.2500012715980936</v>
      </c>
      <c r="I72" s="15">
        <f t="shared" si="8"/>
        <v>0.81817778271002106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RGASoundimage</cp:lastModifiedBy>
  <dcterms:created xsi:type="dcterms:W3CDTF">2026-06-12T03:51:33Z</dcterms:created>
  <dcterms:modified xsi:type="dcterms:W3CDTF">2026-06-12T06:37:17Z</dcterms:modified>
</cp:coreProperties>
</file>