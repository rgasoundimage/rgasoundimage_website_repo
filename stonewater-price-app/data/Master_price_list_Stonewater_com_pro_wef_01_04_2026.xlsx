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anoopbachu/Desktop/RGA/Stonewater/"/>
    </mc:Choice>
  </mc:AlternateContent>
  <xr:revisionPtr revIDLastSave="0" documentId="13_ncr:1_{58C99B0C-3B44-EC41-B56A-B7A3554E39FA}" xr6:coauthVersionLast="47" xr6:coauthVersionMax="47" xr10:uidLastSave="{00000000-0000-0000-0000-000000000000}"/>
  <bookViews>
    <workbookView xWindow="0" yWindow="1040" windowWidth="34200" windowHeight="19400" xr2:uid="{00000000-000D-0000-FFFF-FFFF00000000}"/>
  </bookViews>
  <sheets>
    <sheet name="Praveen Price List" sheetId="2" r:id="rId1"/>
    <sheet name="Stonewater_Dist_Dealer_price" sheetId="3" r:id="rId2"/>
    <sheet name="Sheet1" sheetId="4" r:id="rId3"/>
  </sheets>
  <definedNames>
    <definedName name="_xlnm.Print_Area" localSheetId="0">'Praveen Price List'!$B$2:$I$92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P40" i="2"/>
  <c r="P7" i="2" l="1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1" i="2"/>
  <c r="P42" i="2"/>
  <c r="P43" i="2"/>
  <c r="P44" i="2"/>
  <c r="P45" i="2"/>
  <c r="P46" i="2"/>
  <c r="P47" i="2"/>
  <c r="P48" i="2"/>
  <c r="P49" i="2"/>
  <c r="P50" i="2"/>
  <c r="P51" i="2"/>
  <c r="P52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6" i="2"/>
  <c r="F7" i="2"/>
  <c r="F8" i="2"/>
  <c r="F9" i="2"/>
  <c r="F10" i="2"/>
  <c r="F11" i="2"/>
  <c r="F12" i="2"/>
  <c r="F13" i="2"/>
  <c r="F14" i="2"/>
  <c r="F15" i="2"/>
  <c r="F1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K49" i="2" s="1"/>
  <c r="I50" i="2"/>
  <c r="I51" i="2"/>
  <c r="I52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M90" i="2" s="1"/>
  <c r="I91" i="2"/>
  <c r="O91" i="2" s="1"/>
  <c r="I6" i="2"/>
  <c r="H90" i="3"/>
  <c r="G90" i="2"/>
  <c r="I90" i="3"/>
  <c r="K90" i="3" s="1"/>
  <c r="G90" i="3"/>
  <c r="M90" i="3" s="1"/>
  <c r="F90" i="3"/>
  <c r="L90" i="3" s="1"/>
  <c r="G49" i="2"/>
  <c r="F49" i="3"/>
  <c r="L49" i="3" s="1"/>
  <c r="G49" i="3"/>
  <c r="M49" i="3" s="1"/>
  <c r="I49" i="3"/>
  <c r="J49" i="3" s="1"/>
  <c r="H49" i="3"/>
  <c r="J90" i="2" l="1"/>
  <c r="K90" i="2"/>
  <c r="L90" i="2"/>
  <c r="K91" i="2"/>
  <c r="G91" i="2"/>
  <c r="L91" i="2"/>
  <c r="N91" i="2" s="1"/>
  <c r="M91" i="2"/>
  <c r="J91" i="2"/>
  <c r="J90" i="3"/>
  <c r="J49" i="2"/>
  <c r="M49" i="2"/>
  <c r="L49" i="2"/>
  <c r="K49" i="3"/>
  <c r="O87" i="2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6" i="3"/>
  <c r="I53" i="3" l="1"/>
  <c r="K53" i="3" s="1"/>
  <c r="I54" i="3"/>
  <c r="K54" i="3" s="1"/>
  <c r="I55" i="3"/>
  <c r="K55" i="3" s="1"/>
  <c r="I56" i="3"/>
  <c r="K56" i="3" s="1"/>
  <c r="I57" i="3"/>
  <c r="J57" i="3" s="1"/>
  <c r="I58" i="3"/>
  <c r="J58" i="3" s="1"/>
  <c r="I59" i="3"/>
  <c r="J59" i="3" s="1"/>
  <c r="I60" i="3"/>
  <c r="J60" i="3" s="1"/>
  <c r="I61" i="3"/>
  <c r="K61" i="3" s="1"/>
  <c r="I62" i="3"/>
  <c r="K62" i="3" s="1"/>
  <c r="I63" i="3"/>
  <c r="K63" i="3" s="1"/>
  <c r="I64" i="3"/>
  <c r="K64" i="3" s="1"/>
  <c r="I65" i="3"/>
  <c r="J65" i="3" s="1"/>
  <c r="I66" i="3"/>
  <c r="J66" i="3" s="1"/>
  <c r="I67" i="3"/>
  <c r="J67" i="3" s="1"/>
  <c r="I68" i="3"/>
  <c r="J68" i="3" s="1"/>
  <c r="I69" i="3"/>
  <c r="K69" i="3" s="1"/>
  <c r="I70" i="3"/>
  <c r="K70" i="3" s="1"/>
  <c r="I71" i="3"/>
  <c r="K71" i="3" s="1"/>
  <c r="I72" i="3"/>
  <c r="K72" i="3" s="1"/>
  <c r="I73" i="3"/>
  <c r="J73" i="3" s="1"/>
  <c r="I74" i="3"/>
  <c r="J74" i="3" s="1"/>
  <c r="I75" i="3"/>
  <c r="J75" i="3" s="1"/>
  <c r="I76" i="3"/>
  <c r="J76" i="3" s="1"/>
  <c r="I77" i="3"/>
  <c r="K77" i="3" s="1"/>
  <c r="I78" i="3"/>
  <c r="K78" i="3" s="1"/>
  <c r="I79" i="3"/>
  <c r="K79" i="3" s="1"/>
  <c r="I80" i="3"/>
  <c r="K80" i="3" s="1"/>
  <c r="I81" i="3"/>
  <c r="J81" i="3" s="1"/>
  <c r="I82" i="3"/>
  <c r="J82" i="3" s="1"/>
  <c r="I83" i="3"/>
  <c r="J83" i="3" s="1"/>
  <c r="I84" i="3"/>
  <c r="J84" i="3" s="1"/>
  <c r="I85" i="3"/>
  <c r="K85" i="3" s="1"/>
  <c r="I86" i="3"/>
  <c r="K86" i="3" s="1"/>
  <c r="I87" i="3"/>
  <c r="K87" i="3" s="1"/>
  <c r="I88" i="3"/>
  <c r="K88" i="3" s="1"/>
  <c r="G53" i="3"/>
  <c r="G54" i="3"/>
  <c r="G55" i="3"/>
  <c r="M55" i="3" s="1"/>
  <c r="G56" i="3"/>
  <c r="M56" i="3" s="1"/>
  <c r="G57" i="3"/>
  <c r="G58" i="3"/>
  <c r="M58" i="3" s="1"/>
  <c r="G59" i="3"/>
  <c r="M59" i="3" s="1"/>
  <c r="G60" i="3"/>
  <c r="M60" i="3" s="1"/>
  <c r="G61" i="3"/>
  <c r="M61" i="3" s="1"/>
  <c r="G62" i="3"/>
  <c r="M62" i="3" s="1"/>
  <c r="G63" i="3"/>
  <c r="G64" i="3"/>
  <c r="M64" i="3" s="1"/>
  <c r="G65" i="3"/>
  <c r="M65" i="3" s="1"/>
  <c r="G66" i="3"/>
  <c r="M66" i="3" s="1"/>
  <c r="G67" i="3"/>
  <c r="M67" i="3" s="1"/>
  <c r="G68" i="3"/>
  <c r="M68" i="3" s="1"/>
  <c r="G69" i="3"/>
  <c r="G70" i="3"/>
  <c r="M70" i="3" s="1"/>
  <c r="G71" i="3"/>
  <c r="M71" i="3" s="1"/>
  <c r="G72" i="3"/>
  <c r="M72" i="3" s="1"/>
  <c r="G73" i="3"/>
  <c r="M73" i="3" s="1"/>
  <c r="G74" i="3"/>
  <c r="G75" i="3"/>
  <c r="M75" i="3" s="1"/>
  <c r="G76" i="3"/>
  <c r="M76" i="3" s="1"/>
  <c r="G77" i="3"/>
  <c r="M77" i="3" s="1"/>
  <c r="G78" i="3"/>
  <c r="M78" i="3" s="1"/>
  <c r="G79" i="3"/>
  <c r="M79" i="3" s="1"/>
  <c r="G80" i="3"/>
  <c r="M80" i="3" s="1"/>
  <c r="G81" i="3"/>
  <c r="M81" i="3" s="1"/>
  <c r="G82" i="3"/>
  <c r="M82" i="3" s="1"/>
  <c r="G83" i="3"/>
  <c r="G84" i="3"/>
  <c r="M84" i="3" s="1"/>
  <c r="G85" i="3"/>
  <c r="M85" i="3" s="1"/>
  <c r="G86" i="3"/>
  <c r="M86" i="3" s="1"/>
  <c r="G87" i="3"/>
  <c r="G88" i="3"/>
  <c r="M88" i="3" s="1"/>
  <c r="F53" i="3"/>
  <c r="F54" i="3"/>
  <c r="F55" i="3"/>
  <c r="L55" i="3" s="1"/>
  <c r="F63" i="3"/>
  <c r="F71" i="3"/>
  <c r="L71" i="3" s="1"/>
  <c r="F79" i="3"/>
  <c r="L79" i="3" s="1"/>
  <c r="F87" i="3"/>
  <c r="F56" i="3"/>
  <c r="L56" i="3" s="1"/>
  <c r="F57" i="3"/>
  <c r="F58" i="3"/>
  <c r="L58" i="3" s="1"/>
  <c r="F59" i="3"/>
  <c r="L59" i="3" s="1"/>
  <c r="F60" i="3"/>
  <c r="L60" i="3" s="1"/>
  <c r="F61" i="3"/>
  <c r="L61" i="3" s="1"/>
  <c r="F62" i="3"/>
  <c r="L62" i="3" s="1"/>
  <c r="F64" i="3"/>
  <c r="L64" i="3" s="1"/>
  <c r="F65" i="3"/>
  <c r="L65" i="3" s="1"/>
  <c r="F66" i="3"/>
  <c r="L66" i="3" s="1"/>
  <c r="F67" i="3"/>
  <c r="L67" i="3" s="1"/>
  <c r="F68" i="3"/>
  <c r="L68" i="3" s="1"/>
  <c r="F69" i="3"/>
  <c r="F70" i="3"/>
  <c r="L70" i="3" s="1"/>
  <c r="F72" i="3"/>
  <c r="L72" i="3" s="1"/>
  <c r="F73" i="3"/>
  <c r="L73" i="3" s="1"/>
  <c r="F74" i="3"/>
  <c r="F75" i="3"/>
  <c r="L75" i="3" s="1"/>
  <c r="F76" i="3"/>
  <c r="L76" i="3" s="1"/>
  <c r="F77" i="3"/>
  <c r="L77" i="3" s="1"/>
  <c r="F78" i="3"/>
  <c r="L78" i="3" s="1"/>
  <c r="F80" i="3"/>
  <c r="L80" i="3" s="1"/>
  <c r="F81" i="3"/>
  <c r="L81" i="3" s="1"/>
  <c r="F82" i="3"/>
  <c r="L82" i="3" s="1"/>
  <c r="F83" i="3"/>
  <c r="F84" i="3"/>
  <c r="L84" i="3" s="1"/>
  <c r="F85" i="3"/>
  <c r="L85" i="3" s="1"/>
  <c r="F86" i="3"/>
  <c r="L86" i="3" s="1"/>
  <c r="F88" i="3"/>
  <c r="L88" i="3" s="1"/>
  <c r="J88" i="3" l="1"/>
  <c r="J80" i="3"/>
  <c r="J72" i="3"/>
  <c r="J64" i="3"/>
  <c r="J56" i="3"/>
  <c r="K84" i="3"/>
  <c r="K76" i="3"/>
  <c r="K68" i="3"/>
  <c r="K60" i="3"/>
  <c r="J87" i="3"/>
  <c r="J79" i="3"/>
  <c r="J71" i="3"/>
  <c r="J63" i="3"/>
  <c r="J55" i="3"/>
  <c r="K83" i="3"/>
  <c r="K75" i="3"/>
  <c r="K67" i="3"/>
  <c r="K59" i="3"/>
  <c r="J86" i="3"/>
  <c r="J78" i="3"/>
  <c r="J70" i="3"/>
  <c r="J62" i="3"/>
  <c r="J54" i="3"/>
  <c r="K82" i="3"/>
  <c r="K74" i="3"/>
  <c r="K66" i="3"/>
  <c r="K58" i="3"/>
  <c r="J85" i="3"/>
  <c r="J77" i="3"/>
  <c r="J69" i="3"/>
  <c r="J61" i="3"/>
  <c r="J53" i="3"/>
  <c r="K81" i="3"/>
  <c r="K73" i="3"/>
  <c r="K65" i="3"/>
  <c r="K57" i="3"/>
  <c r="L55" i="2"/>
  <c r="O56" i="2"/>
  <c r="O57" i="2"/>
  <c r="O59" i="2"/>
  <c r="O60" i="2"/>
  <c r="O61" i="2"/>
  <c r="O62" i="2"/>
  <c r="O63" i="2"/>
  <c r="O65" i="2"/>
  <c r="O66" i="2"/>
  <c r="O67" i="2"/>
  <c r="O68" i="2"/>
  <c r="O69" i="2"/>
  <c r="O71" i="2"/>
  <c r="O72" i="2"/>
  <c r="O73" i="2"/>
  <c r="O74" i="2"/>
  <c r="O76" i="2"/>
  <c r="O77" i="2"/>
  <c r="O78" i="2"/>
  <c r="O79" i="2"/>
  <c r="O80" i="2"/>
  <c r="O81" i="2"/>
  <c r="O82" i="2"/>
  <c r="O83" i="2"/>
  <c r="O85" i="2"/>
  <c r="O86" i="2"/>
  <c r="O89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E54" i="2"/>
  <c r="E53" i="2"/>
  <c r="I6" i="3"/>
  <c r="J6" i="3" s="1"/>
  <c r="I7" i="3"/>
  <c r="J7" i="3" s="1"/>
  <c r="I8" i="3"/>
  <c r="K8" i="3" s="1"/>
  <c r="I9" i="3"/>
  <c r="K9" i="3" s="1"/>
  <c r="I10" i="3"/>
  <c r="K10" i="3" s="1"/>
  <c r="I11" i="3"/>
  <c r="K11" i="3" s="1"/>
  <c r="I12" i="3"/>
  <c r="J12" i="3" s="1"/>
  <c r="I13" i="3"/>
  <c r="K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K20" i="3" s="1"/>
  <c r="I21" i="3"/>
  <c r="J21" i="3" s="1"/>
  <c r="I22" i="3"/>
  <c r="K22" i="3" s="1"/>
  <c r="I23" i="3"/>
  <c r="K23" i="3" s="1"/>
  <c r="I24" i="3"/>
  <c r="K24" i="3" s="1"/>
  <c r="I25" i="3"/>
  <c r="K25" i="3" s="1"/>
  <c r="I26" i="3"/>
  <c r="K26" i="3" s="1"/>
  <c r="I27" i="3"/>
  <c r="K27" i="3" s="1"/>
  <c r="I28" i="3"/>
  <c r="K28" i="3" s="1"/>
  <c r="I29" i="3"/>
  <c r="J29" i="3" s="1"/>
  <c r="I30" i="3"/>
  <c r="K30" i="3" s="1"/>
  <c r="I31" i="3"/>
  <c r="K31" i="3" s="1"/>
  <c r="I32" i="3"/>
  <c r="K32" i="3" s="1"/>
  <c r="I33" i="3"/>
  <c r="K33" i="3" s="1"/>
  <c r="I34" i="3"/>
  <c r="K34" i="3" s="1"/>
  <c r="I35" i="3"/>
  <c r="J35" i="3" s="1"/>
  <c r="I36" i="3"/>
  <c r="J36" i="3" s="1"/>
  <c r="I37" i="3"/>
  <c r="K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K46" i="3" s="1"/>
  <c r="I47" i="3"/>
  <c r="J47" i="3" s="1"/>
  <c r="I48" i="3"/>
  <c r="J48" i="3" s="1"/>
  <c r="I50" i="3"/>
  <c r="K50" i="3" s="1"/>
  <c r="I51" i="3"/>
  <c r="K51" i="3" s="1"/>
  <c r="I52" i="3"/>
  <c r="K52" i="3" s="1"/>
  <c r="G8" i="3"/>
  <c r="M8" i="3" s="1"/>
  <c r="G7" i="3"/>
  <c r="M7" i="3" s="1"/>
  <c r="G6" i="3"/>
  <c r="M6" i="3" s="1"/>
  <c r="G9" i="3"/>
  <c r="M9" i="3" s="1"/>
  <c r="G10" i="3"/>
  <c r="M10" i="3" s="1"/>
  <c r="G11" i="3"/>
  <c r="M11" i="3" s="1"/>
  <c r="G12" i="3"/>
  <c r="G13" i="3"/>
  <c r="M13" i="3" s="1"/>
  <c r="G14" i="3"/>
  <c r="M14" i="3" s="1"/>
  <c r="G15" i="3"/>
  <c r="M15" i="3" s="1"/>
  <c r="G16" i="3"/>
  <c r="M16" i="3" s="1"/>
  <c r="G17" i="3"/>
  <c r="M17" i="3" s="1"/>
  <c r="G18" i="3"/>
  <c r="M18" i="3" s="1"/>
  <c r="G19" i="3"/>
  <c r="M19" i="3" s="1"/>
  <c r="G20" i="3"/>
  <c r="M20" i="3" s="1"/>
  <c r="G21" i="3"/>
  <c r="M21" i="3" s="1"/>
  <c r="G22" i="3"/>
  <c r="M22" i="3" s="1"/>
  <c r="G23" i="3"/>
  <c r="G24" i="3"/>
  <c r="M24" i="3" s="1"/>
  <c r="G25" i="3"/>
  <c r="M25" i="3" s="1"/>
  <c r="G26" i="3"/>
  <c r="G27" i="3"/>
  <c r="M27" i="3" s="1"/>
  <c r="G28" i="3"/>
  <c r="M28" i="3" s="1"/>
  <c r="G29" i="3"/>
  <c r="M29" i="3" s="1"/>
  <c r="G30" i="3"/>
  <c r="M30" i="3" s="1"/>
  <c r="G31" i="3"/>
  <c r="G32" i="3"/>
  <c r="M32" i="3" s="1"/>
  <c r="G33" i="3"/>
  <c r="M33" i="3" s="1"/>
  <c r="G34" i="3"/>
  <c r="M34" i="3" s="1"/>
  <c r="G35" i="3"/>
  <c r="M35" i="3" s="1"/>
  <c r="G36" i="3"/>
  <c r="M36" i="3" s="1"/>
  <c r="G37" i="3"/>
  <c r="M37" i="3" s="1"/>
  <c r="G38" i="3"/>
  <c r="M38" i="3" s="1"/>
  <c r="G39" i="3"/>
  <c r="M39" i="3" s="1"/>
  <c r="G40" i="3"/>
  <c r="M40" i="3" s="1"/>
  <c r="G41" i="3"/>
  <c r="M41" i="3" s="1"/>
  <c r="G42" i="3"/>
  <c r="M42" i="3" s="1"/>
  <c r="G43" i="3"/>
  <c r="M43" i="3" s="1"/>
  <c r="G44" i="3"/>
  <c r="G45" i="3"/>
  <c r="M45" i="3" s="1"/>
  <c r="G46" i="3"/>
  <c r="G47" i="3"/>
  <c r="G48" i="3"/>
  <c r="M48" i="3" s="1"/>
  <c r="G50" i="3"/>
  <c r="G51" i="3"/>
  <c r="G52" i="3"/>
  <c r="M52" i="3" s="1"/>
  <c r="F6" i="3"/>
  <c r="L6" i="3" s="1"/>
  <c r="F7" i="3"/>
  <c r="L7" i="3" s="1"/>
  <c r="F8" i="3"/>
  <c r="L8" i="3" s="1"/>
  <c r="F9" i="3"/>
  <c r="L9" i="3" s="1"/>
  <c r="F10" i="3"/>
  <c r="L10" i="3" s="1"/>
  <c r="F11" i="3"/>
  <c r="L11" i="3" s="1"/>
  <c r="F12" i="3"/>
  <c r="F13" i="3"/>
  <c r="L13" i="3" s="1"/>
  <c r="F14" i="3"/>
  <c r="L14" i="3" s="1"/>
  <c r="F15" i="3"/>
  <c r="L15" i="3" s="1"/>
  <c r="F16" i="3"/>
  <c r="L16" i="3" s="1"/>
  <c r="F17" i="3"/>
  <c r="L17" i="3" s="1"/>
  <c r="F18" i="3"/>
  <c r="L18" i="3" s="1"/>
  <c r="F19" i="3"/>
  <c r="L19" i="3" s="1"/>
  <c r="F20" i="3"/>
  <c r="L20" i="3" s="1"/>
  <c r="F21" i="3"/>
  <c r="L21" i="3" s="1"/>
  <c r="F22" i="3"/>
  <c r="L22" i="3" s="1"/>
  <c r="F23" i="3"/>
  <c r="F24" i="3"/>
  <c r="L24" i="3" s="1"/>
  <c r="F25" i="3"/>
  <c r="L25" i="3" s="1"/>
  <c r="F26" i="3"/>
  <c r="F27" i="3"/>
  <c r="L27" i="3" s="1"/>
  <c r="F28" i="3"/>
  <c r="L28" i="3" s="1"/>
  <c r="F29" i="3"/>
  <c r="L29" i="3" s="1"/>
  <c r="F30" i="3"/>
  <c r="L30" i="3" s="1"/>
  <c r="F31" i="3"/>
  <c r="F32" i="3"/>
  <c r="L32" i="3" s="1"/>
  <c r="F33" i="3"/>
  <c r="L33" i="3" s="1"/>
  <c r="F34" i="3"/>
  <c r="L34" i="3" s="1"/>
  <c r="F35" i="3"/>
  <c r="L35" i="3" s="1"/>
  <c r="F36" i="3"/>
  <c r="L36" i="3" s="1"/>
  <c r="F37" i="3"/>
  <c r="L37" i="3" s="1"/>
  <c r="F38" i="3"/>
  <c r="L38" i="3" s="1"/>
  <c r="F39" i="3"/>
  <c r="L39" i="3" s="1"/>
  <c r="F40" i="3"/>
  <c r="L40" i="3" s="1"/>
  <c r="F41" i="3"/>
  <c r="L41" i="3" s="1"/>
  <c r="F42" i="3"/>
  <c r="L42" i="3" s="1"/>
  <c r="F43" i="3"/>
  <c r="L43" i="3" s="1"/>
  <c r="F44" i="3"/>
  <c r="F45" i="3"/>
  <c r="L45" i="3" s="1"/>
  <c r="F46" i="3"/>
  <c r="F47" i="3"/>
  <c r="F48" i="3"/>
  <c r="L48" i="3" s="1"/>
  <c r="F50" i="3"/>
  <c r="F51" i="3"/>
  <c r="F52" i="3"/>
  <c r="L52" i="3" s="1"/>
  <c r="O52" i="2"/>
  <c r="G52" i="2"/>
  <c r="G51" i="2"/>
  <c r="G50" i="2"/>
  <c r="O48" i="2"/>
  <c r="G48" i="2"/>
  <c r="G47" i="2"/>
  <c r="G46" i="2"/>
  <c r="O45" i="2"/>
  <c r="G45" i="2"/>
  <c r="G44" i="2"/>
  <c r="O43" i="2"/>
  <c r="G43" i="2"/>
  <c r="O42" i="2"/>
  <c r="G42" i="2"/>
  <c r="O41" i="2"/>
  <c r="G41" i="2"/>
  <c r="O40" i="2"/>
  <c r="G40" i="2"/>
  <c r="O39" i="2"/>
  <c r="G39" i="2"/>
  <c r="O38" i="2"/>
  <c r="G38" i="2"/>
  <c r="O37" i="2"/>
  <c r="G37" i="2"/>
  <c r="O36" i="2"/>
  <c r="G36" i="2"/>
  <c r="O35" i="2"/>
  <c r="G35" i="2"/>
  <c r="O34" i="2"/>
  <c r="G34" i="2"/>
  <c r="O33" i="2"/>
  <c r="G33" i="2"/>
  <c r="O32" i="2"/>
  <c r="G32" i="2"/>
  <c r="G31" i="2"/>
  <c r="O30" i="2"/>
  <c r="G30" i="2"/>
  <c r="O29" i="2"/>
  <c r="G29" i="2"/>
  <c r="O28" i="2"/>
  <c r="G28" i="2"/>
  <c r="O27" i="2"/>
  <c r="G27" i="2"/>
  <c r="G26" i="2"/>
  <c r="O25" i="2"/>
  <c r="G25" i="2"/>
  <c r="O24" i="2"/>
  <c r="G24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I53" i="2" l="1"/>
  <c r="F53" i="2"/>
  <c r="P53" i="2"/>
  <c r="I54" i="2"/>
  <c r="F54" i="2"/>
  <c r="P54" i="2"/>
  <c r="G54" i="2"/>
  <c r="K55" i="2"/>
  <c r="K10" i="2"/>
  <c r="M10" i="2"/>
  <c r="J10" i="2"/>
  <c r="L48" i="2"/>
  <c r="N48" i="2" s="1"/>
  <c r="M48" i="2"/>
  <c r="J48" i="2"/>
  <c r="L78" i="2"/>
  <c r="N78" i="2" s="1"/>
  <c r="J78" i="2"/>
  <c r="M78" i="2"/>
  <c r="L13" i="2"/>
  <c r="N13" i="2" s="1"/>
  <c r="J13" i="2"/>
  <c r="M13" i="2"/>
  <c r="K43" i="2"/>
  <c r="J43" i="2"/>
  <c r="M43" i="2"/>
  <c r="L77" i="2"/>
  <c r="N77" i="2" s="1"/>
  <c r="J77" i="2"/>
  <c r="M77" i="2"/>
  <c r="K8" i="2"/>
  <c r="J8" i="2"/>
  <c r="M8" i="2"/>
  <c r="L16" i="2"/>
  <c r="N16" i="2" s="1"/>
  <c r="M16" i="2"/>
  <c r="J16" i="2"/>
  <c r="L24" i="2"/>
  <c r="N24" i="2" s="1"/>
  <c r="M24" i="2"/>
  <c r="J24" i="2"/>
  <c r="K12" i="2"/>
  <c r="J12" i="2"/>
  <c r="M12" i="2"/>
  <c r="L20" i="2"/>
  <c r="N20" i="2" s="1"/>
  <c r="J20" i="2"/>
  <c r="M20" i="2"/>
  <c r="L34" i="2"/>
  <c r="N34" i="2" s="1"/>
  <c r="J34" i="2"/>
  <c r="M34" i="2"/>
  <c r="L42" i="2"/>
  <c r="N42" i="2" s="1"/>
  <c r="J42" i="2"/>
  <c r="M42" i="2"/>
  <c r="L51" i="2"/>
  <c r="J51" i="2"/>
  <c r="M51" i="2"/>
  <c r="K88" i="2"/>
  <c r="M88" i="2"/>
  <c r="J88" i="2"/>
  <c r="K80" i="2"/>
  <c r="M80" i="2"/>
  <c r="J80" i="2"/>
  <c r="K72" i="2"/>
  <c r="M72" i="2"/>
  <c r="J72" i="2"/>
  <c r="K64" i="2"/>
  <c r="M64" i="2"/>
  <c r="J64" i="2"/>
  <c r="K56" i="2"/>
  <c r="M56" i="2"/>
  <c r="J56" i="2"/>
  <c r="K7" i="2"/>
  <c r="J7" i="2"/>
  <c r="M7" i="2"/>
  <c r="K15" i="2"/>
  <c r="J15" i="2"/>
  <c r="M15" i="2"/>
  <c r="K23" i="2"/>
  <c r="J23" i="2"/>
  <c r="M23" i="2"/>
  <c r="L30" i="2"/>
  <c r="N30" i="2" s="1"/>
  <c r="J30" i="2"/>
  <c r="M30" i="2"/>
  <c r="L37" i="2"/>
  <c r="N37" i="2" s="1"/>
  <c r="J37" i="2"/>
  <c r="M37" i="2"/>
  <c r="K45" i="2"/>
  <c r="J45" i="2"/>
  <c r="M45" i="2"/>
  <c r="L87" i="2"/>
  <c r="N87" i="2" s="1"/>
  <c r="M87" i="2"/>
  <c r="J87" i="2"/>
  <c r="L79" i="2"/>
  <c r="N79" i="2" s="1"/>
  <c r="M79" i="2"/>
  <c r="J79" i="2"/>
  <c r="L71" i="2"/>
  <c r="N71" i="2" s="1"/>
  <c r="M71" i="2"/>
  <c r="J71" i="2"/>
  <c r="K63" i="2"/>
  <c r="M63" i="2"/>
  <c r="J63" i="2"/>
  <c r="M55" i="2"/>
  <c r="J55" i="2"/>
  <c r="L62" i="2"/>
  <c r="N62" i="2" s="1"/>
  <c r="J62" i="2"/>
  <c r="M62" i="2"/>
  <c r="L85" i="2"/>
  <c r="N85" i="2" s="1"/>
  <c r="J85" i="2"/>
  <c r="M85" i="2"/>
  <c r="K68" i="2"/>
  <c r="J68" i="2"/>
  <c r="M68" i="2"/>
  <c r="L26" i="2"/>
  <c r="M26" i="2"/>
  <c r="J26" i="2"/>
  <c r="L86" i="2"/>
  <c r="N86" i="2" s="1"/>
  <c r="J86" i="2"/>
  <c r="M86" i="2"/>
  <c r="K21" i="2"/>
  <c r="J21" i="2"/>
  <c r="M21" i="2"/>
  <c r="L35" i="2"/>
  <c r="N35" i="2" s="1"/>
  <c r="J35" i="2"/>
  <c r="M35" i="2"/>
  <c r="L61" i="2"/>
  <c r="N61" i="2" s="1"/>
  <c r="J61" i="2"/>
  <c r="M61" i="2"/>
  <c r="K38" i="2"/>
  <c r="M38" i="2"/>
  <c r="J38" i="2"/>
  <c r="K76" i="2"/>
  <c r="J76" i="2"/>
  <c r="M76" i="2"/>
  <c r="K83" i="2"/>
  <c r="J83" i="2"/>
  <c r="M83" i="2"/>
  <c r="K75" i="2"/>
  <c r="J75" i="2"/>
  <c r="M75" i="2"/>
  <c r="K67" i="2"/>
  <c r="J67" i="2"/>
  <c r="M67" i="2"/>
  <c r="K59" i="2"/>
  <c r="J59" i="2"/>
  <c r="M59" i="2"/>
  <c r="K6" i="2"/>
  <c r="M6" i="2"/>
  <c r="J6" i="2"/>
  <c r="L14" i="2"/>
  <c r="N14" i="2" s="1"/>
  <c r="J14" i="2"/>
  <c r="M14" i="2"/>
  <c r="K22" i="2"/>
  <c r="J22" i="2"/>
  <c r="M22" i="2"/>
  <c r="L29" i="2"/>
  <c r="N29" i="2" s="1"/>
  <c r="J29" i="2"/>
  <c r="M29" i="2"/>
  <c r="K36" i="2"/>
  <c r="J36" i="2"/>
  <c r="M36" i="2"/>
  <c r="K44" i="2"/>
  <c r="J44" i="2"/>
  <c r="M44" i="2"/>
  <c r="G53" i="2"/>
  <c r="L82" i="2"/>
  <c r="N82" i="2" s="1"/>
  <c r="M82" i="2"/>
  <c r="J82" i="2"/>
  <c r="L74" i="2"/>
  <c r="N74" i="2" s="1"/>
  <c r="M74" i="2"/>
  <c r="J74" i="2"/>
  <c r="L66" i="2"/>
  <c r="N66" i="2" s="1"/>
  <c r="M66" i="2"/>
  <c r="J66" i="2"/>
  <c r="K58" i="2"/>
  <c r="M58" i="2"/>
  <c r="J58" i="2"/>
  <c r="K18" i="2"/>
  <c r="M18" i="2"/>
  <c r="J18" i="2"/>
  <c r="L40" i="2"/>
  <c r="N40" i="2" s="1"/>
  <c r="M40" i="2"/>
  <c r="J40" i="2"/>
  <c r="L70" i="2"/>
  <c r="J70" i="2"/>
  <c r="M70" i="2"/>
  <c r="L28" i="2"/>
  <c r="N28" i="2" s="1"/>
  <c r="J28" i="2"/>
  <c r="M28" i="2"/>
  <c r="K52" i="2"/>
  <c r="J52" i="2"/>
  <c r="M52" i="2"/>
  <c r="L69" i="2"/>
  <c r="N69" i="2" s="1"/>
  <c r="J69" i="2"/>
  <c r="M69" i="2"/>
  <c r="L31" i="2"/>
  <c r="J31" i="2"/>
  <c r="M31" i="2"/>
  <c r="L46" i="2"/>
  <c r="M46" i="2"/>
  <c r="J46" i="2"/>
  <c r="K84" i="2"/>
  <c r="J84" i="2"/>
  <c r="M84" i="2"/>
  <c r="L60" i="2"/>
  <c r="N60" i="2" s="1"/>
  <c r="J60" i="2"/>
  <c r="M60" i="2"/>
  <c r="K11" i="2"/>
  <c r="M11" i="2"/>
  <c r="J11" i="2"/>
  <c r="K19" i="2"/>
  <c r="M19" i="2"/>
  <c r="J19" i="2"/>
  <c r="K27" i="2"/>
  <c r="M27" i="2"/>
  <c r="J27" i="2"/>
  <c r="L33" i="2"/>
  <c r="N33" i="2" s="1"/>
  <c r="M33" i="2"/>
  <c r="J33" i="2"/>
  <c r="K41" i="2"/>
  <c r="M41" i="2"/>
  <c r="J41" i="2"/>
  <c r="L50" i="2"/>
  <c r="M50" i="2"/>
  <c r="J50" i="2"/>
  <c r="K9" i="2"/>
  <c r="M9" i="2"/>
  <c r="J9" i="2"/>
  <c r="L17" i="2"/>
  <c r="N17" i="2" s="1"/>
  <c r="M17" i="2"/>
  <c r="J17" i="2"/>
  <c r="L25" i="2"/>
  <c r="N25" i="2" s="1"/>
  <c r="M25" i="2"/>
  <c r="J25" i="2"/>
  <c r="L32" i="2"/>
  <c r="N32" i="2" s="1"/>
  <c r="M32" i="2"/>
  <c r="J32" i="2"/>
  <c r="L39" i="2"/>
  <c r="N39" i="2" s="1"/>
  <c r="M39" i="2"/>
  <c r="J39" i="2"/>
  <c r="L47" i="2"/>
  <c r="M47" i="2"/>
  <c r="J47" i="2"/>
  <c r="L89" i="2"/>
  <c r="N89" i="2" s="1"/>
  <c r="M89" i="2"/>
  <c r="J89" i="2"/>
  <c r="L81" i="2"/>
  <c r="N81" i="2" s="1"/>
  <c r="M81" i="2"/>
  <c r="J81" i="2"/>
  <c r="L73" i="2"/>
  <c r="N73" i="2" s="1"/>
  <c r="M73" i="2"/>
  <c r="J73" i="2"/>
  <c r="L65" i="2"/>
  <c r="N65" i="2" s="1"/>
  <c r="M65" i="2"/>
  <c r="J65" i="2"/>
  <c r="L57" i="2"/>
  <c r="N57" i="2" s="1"/>
  <c r="M57" i="2"/>
  <c r="J57" i="2"/>
  <c r="K7" i="3"/>
  <c r="J23" i="3"/>
  <c r="J8" i="3"/>
  <c r="J9" i="3"/>
  <c r="L84" i="2"/>
  <c r="L68" i="2"/>
  <c r="N68" i="2" s="1"/>
  <c r="K85" i="2"/>
  <c r="K73" i="2"/>
  <c r="K71" i="2"/>
  <c r="K89" i="2"/>
  <c r="K69" i="2"/>
  <c r="L76" i="2"/>
  <c r="N76" i="2" s="1"/>
  <c r="K81" i="2"/>
  <c r="K87" i="2"/>
  <c r="K65" i="2"/>
  <c r="K61" i="2"/>
  <c r="K57" i="2"/>
  <c r="K79" i="2"/>
  <c r="K77" i="2"/>
  <c r="K86" i="2"/>
  <c r="K78" i="2"/>
  <c r="K70" i="2"/>
  <c r="K62" i="2"/>
  <c r="L83" i="2"/>
  <c r="N83" i="2" s="1"/>
  <c r="L75" i="2"/>
  <c r="L67" i="2"/>
  <c r="N67" i="2" s="1"/>
  <c r="L59" i="2"/>
  <c r="N59" i="2" s="1"/>
  <c r="L58" i="2"/>
  <c r="K60" i="2"/>
  <c r="L88" i="2"/>
  <c r="L80" i="2"/>
  <c r="N80" i="2" s="1"/>
  <c r="L72" i="2"/>
  <c r="N72" i="2" s="1"/>
  <c r="L64" i="2"/>
  <c r="L56" i="2"/>
  <c r="N56" i="2" s="1"/>
  <c r="L63" i="2"/>
  <c r="N63" i="2" s="1"/>
  <c r="K82" i="2"/>
  <c r="K74" i="2"/>
  <c r="K66" i="2"/>
  <c r="K6" i="3"/>
  <c r="K21" i="3"/>
  <c r="K48" i="3"/>
  <c r="J11" i="3"/>
  <c r="J22" i="3"/>
  <c r="K12" i="3"/>
  <c r="J10" i="3"/>
  <c r="K45" i="3"/>
  <c r="J28" i="3"/>
  <c r="J30" i="3"/>
  <c r="J31" i="3"/>
  <c r="K29" i="3"/>
  <c r="J52" i="3"/>
  <c r="J20" i="3"/>
  <c r="J27" i="3"/>
  <c r="K19" i="3"/>
  <c r="J37" i="3"/>
  <c r="K16" i="3"/>
  <c r="K17" i="3"/>
  <c r="K35" i="3"/>
  <c r="K36" i="3"/>
  <c r="K38" i="3"/>
  <c r="K39" i="3"/>
  <c r="K40" i="3"/>
  <c r="K41" i="3"/>
  <c r="K42" i="3"/>
  <c r="K43" i="3"/>
  <c r="K44" i="3"/>
  <c r="K47" i="3"/>
  <c r="K14" i="3"/>
  <c r="K18" i="3"/>
  <c r="J13" i="3"/>
  <c r="J24" i="3"/>
  <c r="J25" i="3"/>
  <c r="J26" i="3"/>
  <c r="J32" i="3"/>
  <c r="J33" i="3"/>
  <c r="J34" i="3"/>
  <c r="K15" i="3"/>
  <c r="J46" i="3"/>
  <c r="J50" i="3"/>
  <c r="J51" i="3"/>
  <c r="L11" i="2"/>
  <c r="N11" i="2" s="1"/>
  <c r="L12" i="2"/>
  <c r="L27" i="2"/>
  <c r="N27" i="2" s="1"/>
  <c r="L45" i="2"/>
  <c r="N45" i="2" s="1"/>
  <c r="L22" i="2"/>
  <c r="N22" i="2" s="1"/>
  <c r="L19" i="2"/>
  <c r="N19" i="2" s="1"/>
  <c r="K48" i="2"/>
  <c r="L21" i="2"/>
  <c r="N21" i="2" s="1"/>
  <c r="L10" i="2"/>
  <c r="N10" i="2" s="1"/>
  <c r="L7" i="2"/>
  <c r="N7" i="2" s="1"/>
  <c r="L6" i="2"/>
  <c r="N6" i="2" s="1"/>
  <c r="L9" i="2"/>
  <c r="N9" i="2" s="1"/>
  <c r="L8" i="2"/>
  <c r="N8" i="2" s="1"/>
  <c r="L23" i="2"/>
  <c r="K28" i="2"/>
  <c r="K29" i="2"/>
  <c r="K30" i="2"/>
  <c r="K31" i="2"/>
  <c r="K20" i="2"/>
  <c r="K14" i="2"/>
  <c r="K17" i="2"/>
  <c r="K40" i="2"/>
  <c r="L15" i="2"/>
  <c r="N15" i="2" s="1"/>
  <c r="L36" i="2"/>
  <c r="N36" i="2" s="1"/>
  <c r="L38" i="2"/>
  <c r="N38" i="2" s="1"/>
  <c r="L41" i="2"/>
  <c r="N41" i="2" s="1"/>
  <c r="L43" i="2"/>
  <c r="N43" i="2" s="1"/>
  <c r="L44" i="2"/>
  <c r="L52" i="2"/>
  <c r="N52" i="2" s="1"/>
  <c r="K13" i="2"/>
  <c r="K24" i="2"/>
  <c r="K25" i="2"/>
  <c r="K26" i="2"/>
  <c r="K32" i="2"/>
  <c r="K33" i="2"/>
  <c r="K34" i="2"/>
  <c r="K16" i="2"/>
  <c r="K35" i="2"/>
  <c r="K37" i="2"/>
  <c r="K39" i="2"/>
  <c r="K42" i="2"/>
  <c r="K47" i="2"/>
  <c r="L18" i="2"/>
  <c r="N18" i="2" s="1"/>
  <c r="K46" i="2"/>
  <c r="K50" i="2"/>
  <c r="K51" i="2"/>
  <c r="J54" i="2" l="1"/>
  <c r="M54" i="2"/>
  <c r="J53" i="2"/>
  <c r="M53" i="2"/>
  <c r="K53" i="2"/>
  <c r="L53" i="2"/>
  <c r="K54" i="2"/>
  <c r="L54" i="2"/>
</calcChain>
</file>

<file path=xl/sharedStrings.xml><?xml version="1.0" encoding="utf-8"?>
<sst xmlns="http://schemas.openxmlformats.org/spreadsheetml/2006/main" count="394" uniqueCount="190">
  <si>
    <t>Model Number</t>
  </si>
  <si>
    <t>Description</t>
  </si>
  <si>
    <t>In Ceiling Speakers</t>
  </si>
  <si>
    <t>CS-6LE</t>
  </si>
  <si>
    <t>30 Watt rms, 6 Inch 2-way speaker without LMT</t>
  </si>
  <si>
    <t>CS-6LM</t>
  </si>
  <si>
    <t>30 Watt rms, 6 Inch 2-way speaker with LMT</t>
  </si>
  <si>
    <t>CS-6PP</t>
  </si>
  <si>
    <t>50 Watt rms, 6" Fibre glass composite cone speaker, with 2-way crossover, without LMT</t>
  </si>
  <si>
    <t>50 Watt rms, 6" Kevlar Cone speaker, with 2-way crossover, without LMT</t>
  </si>
  <si>
    <t>Wall Mount Speakers</t>
  </si>
  <si>
    <t>QUBE 3</t>
  </si>
  <si>
    <t>Satellite speaker with 3 Inch Full-Range driver</t>
  </si>
  <si>
    <t>Atom 3</t>
  </si>
  <si>
    <t>Satellite speaker with 3 Inch Italian Full-Range driver</t>
  </si>
  <si>
    <t>Zeta 3.5</t>
  </si>
  <si>
    <t>25 Watt rms, 3.5"  Wall mount Speaker with Tweeter</t>
  </si>
  <si>
    <t>Zeta 3.5T</t>
  </si>
  <si>
    <t>CURVE 3</t>
  </si>
  <si>
    <t>3 Inch 2 Way, Wall mount Speaker with Silk Dome Tweeter</t>
  </si>
  <si>
    <t>CURVE 3T</t>
  </si>
  <si>
    <t>3 Inch 2 Way Wall Mount, with LMT</t>
  </si>
  <si>
    <t>ELEMENT 5 N</t>
  </si>
  <si>
    <t xml:space="preserve">5.25 Inch Wall mount Speaker with tweeter </t>
  </si>
  <si>
    <t>ELEMENT 5T N</t>
  </si>
  <si>
    <t xml:space="preserve">5.25 Inch, LMT Wall mount Speaker with tweeter </t>
  </si>
  <si>
    <t>SUBWOOFERS</t>
  </si>
  <si>
    <t>QUBE SUB 8</t>
  </si>
  <si>
    <t>8 Inch Passive Subwoofer</t>
  </si>
  <si>
    <t>10 Inch Passive Subwoofer</t>
  </si>
  <si>
    <t>ATOMSUB10</t>
  </si>
  <si>
    <t>IMPULSE 150</t>
  </si>
  <si>
    <t>12 Inch Passive Subwoofer</t>
  </si>
  <si>
    <t>IMPULSE 300A</t>
  </si>
  <si>
    <t>12 Inch Active Subwoofer</t>
  </si>
  <si>
    <t>Amplifiers</t>
  </si>
  <si>
    <t xml:space="preserve">ZONE8 </t>
  </si>
  <si>
    <t>8 Zone Amplifier</t>
  </si>
  <si>
    <t>SR200</t>
  </si>
  <si>
    <t>2.1 Ch Amplifier, 200W @ 4 Ohms</t>
  </si>
  <si>
    <t>SA302</t>
  </si>
  <si>
    <t>Stero Amplifer 70Wx2 @ 4 Ohms</t>
  </si>
  <si>
    <t>QUBE AMP</t>
  </si>
  <si>
    <t>2.1 Ch Amplifier, 120W @ 4 Ohms</t>
  </si>
  <si>
    <t>Zone4</t>
  </si>
  <si>
    <t>4 Zone</t>
  </si>
  <si>
    <t>SMX120</t>
  </si>
  <si>
    <t>120W 100V Amplifier</t>
  </si>
  <si>
    <t>SMX240</t>
  </si>
  <si>
    <t>240W 100V Amplifier</t>
  </si>
  <si>
    <t>Line Mixer</t>
  </si>
  <si>
    <t>MIX12</t>
  </si>
  <si>
    <t>Atom 4</t>
  </si>
  <si>
    <t>Satellite speaker with 4 Inch Italian Full-Range driver</t>
  </si>
  <si>
    <t>Satellite speaker with Dual 4 Inch Italian Full-Range driver</t>
  </si>
  <si>
    <t>Atom 42</t>
  </si>
  <si>
    <t>6 Inch, 2-Way, IP Rated Top</t>
  </si>
  <si>
    <t>8 Inch, 2-Way, IP Rated Top</t>
  </si>
  <si>
    <t>CS-6KVS</t>
  </si>
  <si>
    <t>DX3i</t>
  </si>
  <si>
    <t>2.1 Channel DSP Based Amplifier</t>
  </si>
  <si>
    <t>Pendant Speakers</t>
  </si>
  <si>
    <t>PT-4</t>
  </si>
  <si>
    <t>PT-5</t>
  </si>
  <si>
    <t>Media Player</t>
  </si>
  <si>
    <t>Media Pro</t>
  </si>
  <si>
    <t>CS-4LM</t>
  </si>
  <si>
    <t>20 Watt rms, 4 Inch Dual Cone speaker with LMT</t>
  </si>
  <si>
    <t>CS-8PP</t>
  </si>
  <si>
    <t>100 Watt rms, 8" Fibre glass composite cone speaker, with 2-way crossover, without LMT</t>
  </si>
  <si>
    <t>SW100</t>
  </si>
  <si>
    <t xml:space="preserve">Subwoofer amplifier </t>
  </si>
  <si>
    <t>SMX60</t>
  </si>
  <si>
    <t>60W 100V Amplifier</t>
  </si>
  <si>
    <t>4Z360</t>
  </si>
  <si>
    <t>90Wx4 zone/360W 100V line amplifier</t>
  </si>
  <si>
    <t>Dealer-dist margin</t>
  </si>
  <si>
    <t>Streamer</t>
  </si>
  <si>
    <t>SW01</t>
  </si>
  <si>
    <t>Wifi Streamer</t>
  </si>
  <si>
    <t>MSRP - 20% discount</t>
  </si>
  <si>
    <t>DD500</t>
  </si>
  <si>
    <t>250W x 2 direct drive 100v line power amplifier</t>
  </si>
  <si>
    <t>Aqua 12</t>
  </si>
  <si>
    <t>12 Inch, 2-Way, IP Rated Top</t>
  </si>
  <si>
    <t>MSRP - 30% discount</t>
  </si>
  <si>
    <t xml:space="preserve">RGA Sound Image Stonewater Master PriceList </t>
  </si>
  <si>
    <t>Subdealer-dist margin</t>
  </si>
  <si>
    <t>4 Zone Amplifier with sub line out - USB input, 55W @ 4 Ohms</t>
  </si>
  <si>
    <t>8 Zone Amplifier with sub line out - USB input, 25W @ 4 Ohms</t>
  </si>
  <si>
    <t>Media Player with MP3/WMA/FLAC/WAV music format</t>
  </si>
  <si>
    <t>Wifi Streamer with BT 5.0 and Network</t>
  </si>
  <si>
    <t>250W, 12 Inch Passive Subwoofer</t>
  </si>
  <si>
    <t>300W, 12 Inch Powered Subwoofer</t>
  </si>
  <si>
    <t>200W, 8 Inch Passive Subwoofer</t>
  </si>
  <si>
    <t>400W, 10 Inch Passive Subwoofer</t>
  </si>
  <si>
    <t>40W, Satellite speaker with 3 Inch Full-Range driver</t>
  </si>
  <si>
    <t>40W, Satellite speaker with 3 Inch Italian Full-Range driver</t>
  </si>
  <si>
    <t>50W, Satellite speaker with 4 Inch Italian Full-Range driver</t>
  </si>
  <si>
    <t>Commercial</t>
  </si>
  <si>
    <t>PRO AUDIO</t>
  </si>
  <si>
    <t>Medium Power Systems</t>
  </si>
  <si>
    <t>MICRO 6 Italian</t>
  </si>
  <si>
    <t>100W, 6 Inch 2 Way</t>
  </si>
  <si>
    <t>MICROSUB12</t>
  </si>
  <si>
    <t>400W, 12 Inch Bandpass Subwoofer</t>
  </si>
  <si>
    <t>Rezolution Series</t>
  </si>
  <si>
    <t>RZ8</t>
  </si>
  <si>
    <t>250W, 8 Inch, 2 Way Top, Fly Ready</t>
  </si>
  <si>
    <t>RZ12</t>
  </si>
  <si>
    <t>400W, 12 Inch, 2 Way Top, fly ready</t>
  </si>
  <si>
    <t>RZ15</t>
  </si>
  <si>
    <t>500W, 15 Inch, 2 Way Top, fly ready</t>
  </si>
  <si>
    <t>RZ118</t>
  </si>
  <si>
    <t>1000W, Single 18 Subwoofer</t>
  </si>
  <si>
    <t>RZ218</t>
  </si>
  <si>
    <t>2000W, Dual 18 Subwoofer</t>
  </si>
  <si>
    <t>HD Series</t>
  </si>
  <si>
    <t>HD8</t>
  </si>
  <si>
    <t>HD12</t>
  </si>
  <si>
    <t>500W, 12 Inch, 2 Way Top, fly ready</t>
  </si>
  <si>
    <t>HD15</t>
  </si>
  <si>
    <t>800W, 15 Inch, 2 Way Top, fly ready</t>
  </si>
  <si>
    <t>HD118</t>
  </si>
  <si>
    <t>1800W, Single 18 Subwoofer</t>
  </si>
  <si>
    <t>HD218</t>
  </si>
  <si>
    <t>3600W, Single 18 Subwoofer</t>
  </si>
  <si>
    <t>Aqua Series - IP Rated</t>
  </si>
  <si>
    <t>AQUA 6</t>
  </si>
  <si>
    <t>AQUA 8</t>
  </si>
  <si>
    <t>SUB18C</t>
  </si>
  <si>
    <t xml:space="preserve">DX3 </t>
  </si>
  <si>
    <t>600W+600W+1500W @ 4 Ohms, 3CH Amplifier with DSP</t>
  </si>
  <si>
    <t>M1000</t>
  </si>
  <si>
    <t>1000W + 1000W @ 4 Ohms, 2 Ch, Power Amp, THD: 0.02%</t>
  </si>
  <si>
    <t>M1400</t>
  </si>
  <si>
    <t>1400W + 1400W @ 4 Ohms, 2 Ch, Power Amp, THD: 0.02%</t>
  </si>
  <si>
    <t>M1700</t>
  </si>
  <si>
    <t>1700W + 1700W @ 4 Ohms, 2 Ch, Power Amp, THD: 0.02%</t>
  </si>
  <si>
    <t>4M600</t>
  </si>
  <si>
    <t>4 x 600W @ 4 OHMS, 4 Ch, Power Amp, THD: 0.02%</t>
  </si>
  <si>
    <t>B 4.2</t>
  </si>
  <si>
    <t>1150W x 4 @ 4 ohms, 4 CH BASS Amplifier</t>
  </si>
  <si>
    <t>B 4.25</t>
  </si>
  <si>
    <t>1800W x 4 @ 4 ohms, 4 CH BASS Amplifier</t>
  </si>
  <si>
    <t>B 4.3</t>
  </si>
  <si>
    <t>3650W x 4 @ 4 ohms, 4 CH BASS Amplifier</t>
  </si>
  <si>
    <t>Touring Sytems</t>
  </si>
  <si>
    <t>P800</t>
  </si>
  <si>
    <t>800W, Dual 12, 3 way Point Source</t>
  </si>
  <si>
    <t>PXB218</t>
  </si>
  <si>
    <t>2000W, Dual 18 Hybrid Subwoofer</t>
  </si>
  <si>
    <t>IFR3600</t>
  </si>
  <si>
    <t>3600W, Dual 18 INFRA SUBWOOFER</t>
  </si>
  <si>
    <t>SPEAKER Management System</t>
  </si>
  <si>
    <t>DC48</t>
  </si>
  <si>
    <t>1000W, 18 Inch Subwoofer, Weather Proof</t>
  </si>
  <si>
    <t>20W RMS, 3 Inch 2 Way, Wall mount Speaker with Silk Dome Tweeter</t>
  </si>
  <si>
    <t>20W RMS, 3 Inch 2 Way Wall Mount, with LMT</t>
  </si>
  <si>
    <t>100W, Satellite speaker with Dual 4 Inch Italian Full-Range driver</t>
  </si>
  <si>
    <t xml:space="preserve">40W, 5.25 Inch Wall mount Speaker with tweeter </t>
  </si>
  <si>
    <t xml:space="preserve">40W, 5.25 Inch, LMT Wall mount Speaker with tweeter </t>
  </si>
  <si>
    <t>40W waterproof pendant hanging speaker with tweeter</t>
  </si>
  <si>
    <t>50W waterproof pendant hanging speaker with tweeter</t>
  </si>
  <si>
    <t xml:space="preserve">RGA Sound Image Stonewater PriceList </t>
  </si>
  <si>
    <t>MSRP (P_Price + tax inclusive)</t>
  </si>
  <si>
    <t>MSRP - 35% discount</t>
  </si>
  <si>
    <t>MSRP - 15% discount</t>
  </si>
  <si>
    <t>Distributor Price Tax Incl</t>
  </si>
  <si>
    <t>Dealer price msrp 20% Margin</t>
  </si>
  <si>
    <t>MSRP margin</t>
  </si>
  <si>
    <t>MP-01</t>
  </si>
  <si>
    <t>Media Player MP01</t>
  </si>
  <si>
    <t>Line Speakers</t>
  </si>
  <si>
    <t>Line 36</t>
  </si>
  <si>
    <t>Line Speaker</t>
  </si>
  <si>
    <t xml:space="preserve">120W RMS, 6 precisely positioned 3 Inch, Italian made high fidelity transducers. </t>
  </si>
  <si>
    <t>Media Player with BT 5.0 and FM capabilities</t>
  </si>
  <si>
    <t>Speaker Management system</t>
  </si>
  <si>
    <t>P_ListPrice + Extra 18%</t>
  </si>
  <si>
    <t>HSN</t>
  </si>
  <si>
    <t>MSRP inclusive of taxes</t>
  </si>
  <si>
    <t xml:space="preserve">Distributor Price </t>
  </si>
  <si>
    <t>List_Price + tax 18%</t>
  </si>
  <si>
    <t>Dealer Price (List_Price - 30% discount + Tax  18%)</t>
  </si>
  <si>
    <t>Sub dealer price (List_Price-20% discount + Tax 18%)</t>
  </si>
  <si>
    <t>Dealer Price (p_price - 30% discount + Tax  18%)</t>
  </si>
  <si>
    <t>Sub dealer price (p_price-20% discount + Tax 18%)</t>
  </si>
  <si>
    <t>Brand</t>
  </si>
  <si>
    <t>Stonewater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</si>
</sst>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43" fontId="1" fillId="5" borderId="5" xfId="1" applyFont="1" applyFill="1" applyBorder="1" applyAlignment="1">
      <alignment wrapText="1"/>
    </xf>
    <xf numFmtId="43" fontId="1" fillId="5" borderId="7" xfId="1" applyFont="1" applyFill="1" applyBorder="1"/>
    <xf numFmtId="43" fontId="1" fillId="5" borderId="8" xfId="1" applyFont="1" applyFill="1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10" xfId="0" applyBorder="1"/>
    <xf numFmtId="0" fontId="1" fillId="4" borderId="11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43" fontId="1" fillId="5" borderId="12" xfId="1" applyFont="1" applyFill="1" applyBorder="1"/>
    <xf numFmtId="10" fontId="1" fillId="5" borderId="1" xfId="1" applyNumberFormat="1" applyFont="1" applyFill="1" applyBorder="1" applyAlignment="1">
      <alignment wrapText="1"/>
    </xf>
    <xf numFmtId="43" fontId="1" fillId="5" borderId="13" xfId="1" applyFont="1" applyFill="1" applyBorder="1" applyAlignment="1">
      <alignment wrapText="1"/>
    </xf>
    <xf numFmtId="10" fontId="1" fillId="5" borderId="14" xfId="1" applyNumberFormat="1" applyFont="1" applyFill="1" applyBorder="1" applyAlignment="1">
      <alignment wrapText="1"/>
    </xf>
    <xf numFmtId="43" fontId="1" fillId="5" borderId="2" xfId="1" applyFont="1" applyFill="1" applyBorder="1" applyAlignment="1">
      <alignment wrapText="1"/>
    </xf>
    <xf numFmtId="0" fontId="1" fillId="3" borderId="15" xfId="0" applyFont="1" applyFill="1" applyBorder="1"/>
    <xf numFmtId="0" fontId="0" fillId="0" borderId="16" xfId="0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43" fontId="1" fillId="5" borderId="18" xfId="1" applyFont="1" applyFill="1" applyBorder="1"/>
    <xf numFmtId="0" fontId="1" fillId="3" borderId="19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0" fontId="1" fillId="0" borderId="16" xfId="0" applyFont="1" applyBorder="1"/>
    <xf numFmtId="43" fontId="1" fillId="5" borderId="21" xfId="1" applyFont="1" applyFill="1" applyBorder="1"/>
    <xf numFmtId="0" fontId="1" fillId="6" borderId="1" xfId="0" applyFont="1" applyFill="1" applyBorder="1"/>
    <xf numFmtId="0" fontId="0" fillId="4" borderId="1" xfId="0" applyFill="1" applyBorder="1"/>
    <xf numFmtId="10" fontId="0" fillId="0" borderId="0" xfId="0" applyNumberFormat="1"/>
    <xf numFmtId="43" fontId="1" fillId="5" borderId="22" xfId="1" applyFont="1" applyFill="1" applyBorder="1" applyAlignment="1">
      <alignment wrapText="1"/>
    </xf>
    <xf numFmtId="0" fontId="1" fillId="0" borderId="23" xfId="0" applyFont="1" applyBorder="1" applyAlignment="1">
      <alignment wrapText="1"/>
    </xf>
    <xf numFmtId="0" fontId="0" fillId="0" borderId="24" xfId="0" applyBorder="1"/>
    <xf numFmtId="43" fontId="1" fillId="5" borderId="0" xfId="1" applyFont="1" applyFill="1" applyBorder="1"/>
    <xf numFmtId="0" fontId="0" fillId="0" borderId="14" xfId="0" applyBorder="1"/>
    <xf numFmtId="43" fontId="1" fillId="5" borderId="1" xfId="1" applyFont="1" applyFill="1" applyBorder="1"/>
    <xf numFmtId="0" fontId="1" fillId="2" borderId="25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12" xfId="0" applyBorder="1"/>
    <xf numFmtId="0" fontId="0" fillId="0" borderId="18" xfId="0" applyBorder="1"/>
    <xf numFmtId="0" fontId="1" fillId="0" borderId="18" xfId="0" applyFont="1" applyBorder="1"/>
    <xf numFmtId="0" fontId="3" fillId="0" borderId="17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4699-A79E-2D45-928B-EC025E86D13F}">
  <dimension ref="A2:Q91"/>
  <sheetViews>
    <sheetView tabSelected="1" zoomScale="130" zoomScaleNormal="130" workbookViewId="0">
      <selection activeCell="A91" sqref="A91"/>
    </sheetView>
  </sheetViews>
  <sheetFormatPr baseColWidth="10" defaultColWidth="51" defaultRowHeight="15" x14ac:dyDescent="0.2"/>
  <cols>
    <col min="1" max="1" width="9.83203125" bestFit="1" customWidth="1"/>
    <col min="2" max="2" width="24.6640625" bestFit="1" customWidth="1"/>
    <col min="3" max="3" width="63" bestFit="1" customWidth="1"/>
    <col min="4" max="4" width="9.1640625" hidden="1" customWidth="1"/>
    <col min="5" max="5" width="16.5" bestFit="1" customWidth="1"/>
    <col min="6" max="6" width="18.33203125" bestFit="1" customWidth="1"/>
    <col min="7" max="7" width="15.6640625" bestFit="1" customWidth="1"/>
    <col min="8" max="8" width="17.33203125" bestFit="1" customWidth="1"/>
    <col min="9" max="9" width="12.6640625" bestFit="1" customWidth="1"/>
    <col min="10" max="10" width="11.6640625" hidden="1" customWidth="1"/>
    <col min="11" max="12" width="17.6640625" hidden="1" customWidth="1"/>
    <col min="13" max="13" width="17.6640625" bestFit="1" customWidth="1"/>
    <col min="14" max="14" width="18.6640625" style="35" bestFit="1" customWidth="1"/>
    <col min="15" max="15" width="11.6640625" bestFit="1" customWidth="1"/>
  </cols>
  <sheetData>
    <row r="2" spans="1:16" ht="22" thickBot="1" x14ac:dyDescent="0.3">
      <c r="B2" s="48" t="s">
        <v>164</v>
      </c>
      <c r="C2" s="48"/>
      <c r="D2" s="24"/>
      <c r="E2" s="24"/>
      <c r="F2" s="24"/>
      <c r="G2" s="24"/>
      <c r="H2" s="24"/>
      <c r="I2" s="24"/>
      <c r="J2" s="24"/>
      <c r="K2" s="24"/>
      <c r="L2" s="24"/>
    </row>
    <row r="3" spans="1:16" ht="65" thickBot="1" x14ac:dyDescent="0.25">
      <c r="A3" s="27" t="s">
        <v>188</v>
      </c>
      <c r="B3" s="27" t="s">
        <v>0</v>
      </c>
      <c r="C3" s="4" t="s">
        <v>1</v>
      </c>
      <c r="D3" s="42" t="s">
        <v>180</v>
      </c>
      <c r="E3" s="5" t="s">
        <v>179</v>
      </c>
      <c r="F3" s="5" t="s">
        <v>186</v>
      </c>
      <c r="G3" s="18" t="s">
        <v>187</v>
      </c>
      <c r="H3" s="18" t="s">
        <v>168</v>
      </c>
      <c r="I3" s="18" t="s">
        <v>165</v>
      </c>
      <c r="J3" s="18" t="s">
        <v>166</v>
      </c>
      <c r="K3" s="18" t="s">
        <v>85</v>
      </c>
      <c r="L3" s="18" t="s">
        <v>80</v>
      </c>
      <c r="M3" s="18" t="s">
        <v>167</v>
      </c>
      <c r="N3" s="17" t="s">
        <v>169</v>
      </c>
      <c r="O3" s="36" t="s">
        <v>170</v>
      </c>
    </row>
    <row r="4" spans="1:16" ht="17" thickBot="1" x14ac:dyDescent="0.25">
      <c r="B4" s="28" t="s">
        <v>99</v>
      </c>
      <c r="C4" s="8"/>
      <c r="D4" s="44"/>
      <c r="E4" s="6"/>
      <c r="F4" s="6"/>
      <c r="G4" s="16"/>
      <c r="H4" s="16"/>
      <c r="I4" s="16"/>
      <c r="J4" s="16"/>
      <c r="K4" s="16"/>
      <c r="L4" s="16"/>
      <c r="M4" s="16"/>
      <c r="N4" s="17"/>
      <c r="O4" s="17"/>
    </row>
    <row r="5" spans="1:16" ht="17" thickBot="1" x14ac:dyDescent="0.25">
      <c r="B5" s="26" t="s">
        <v>2</v>
      </c>
      <c r="C5" s="8"/>
      <c r="D5" s="44"/>
      <c r="E5" s="6"/>
      <c r="F5" s="6"/>
      <c r="G5" s="16"/>
      <c r="H5" s="16"/>
      <c r="I5" s="16"/>
      <c r="J5" s="16"/>
      <c r="K5" s="16"/>
      <c r="L5" s="16"/>
      <c r="M5" s="16"/>
      <c r="N5" s="17"/>
      <c r="O5" s="17"/>
    </row>
    <row r="6" spans="1:16" ht="16" x14ac:dyDescent="0.2">
      <c r="A6" t="s">
        <v>189</v>
      </c>
      <c r="B6" s="12" t="s">
        <v>66</v>
      </c>
      <c r="C6" s="1" t="s">
        <v>67</v>
      </c>
      <c r="D6">
        <v>85182200</v>
      </c>
      <c r="E6" s="6">
        <v>2145</v>
      </c>
      <c r="F6" s="6">
        <f>E6*0.7</f>
        <v>1501.5</v>
      </c>
      <c r="G6" s="16">
        <f>ROUND((E6*0.8),-1)</f>
        <v>1720</v>
      </c>
      <c r="H6" s="16">
        <v>1254.3399999999999</v>
      </c>
      <c r="I6" s="16">
        <f>ROUND(E6*1.18,-1)</f>
        <v>2530</v>
      </c>
      <c r="J6" s="16">
        <f>ROUND(I6*0.65,-1)</f>
        <v>1640</v>
      </c>
      <c r="K6" s="16">
        <f>ROUND(I6*0.7,-1)</f>
        <v>1770</v>
      </c>
      <c r="L6" s="16">
        <f>ROUND((I6*0.8),-1)</f>
        <v>2020</v>
      </c>
      <c r="M6" s="16">
        <f>ROUND(I6*0.85,-1)</f>
        <v>2150</v>
      </c>
      <c r="N6" s="17">
        <f>((L6-H6)/L6)</f>
        <v>0.3790396039603961</v>
      </c>
      <c r="O6" s="17">
        <f>((I6-H6)/I6)</f>
        <v>0.50421343873517788</v>
      </c>
      <c r="P6">
        <f>ROUND(E6*0.826,-1)</f>
        <v>1770</v>
      </c>
    </row>
    <row r="7" spans="1:16" ht="16" x14ac:dyDescent="0.2">
      <c r="A7" t="s">
        <v>189</v>
      </c>
      <c r="B7" s="13" t="s">
        <v>3</v>
      </c>
      <c r="C7" s="1" t="s">
        <v>4</v>
      </c>
      <c r="D7">
        <v>85182200</v>
      </c>
      <c r="E7" s="6">
        <v>3899</v>
      </c>
      <c r="F7" s="6">
        <f t="shared" ref="F7:F70" si="0">E7*0.7</f>
        <v>2729.2999999999997</v>
      </c>
      <c r="G7" s="16">
        <f t="shared" ref="G7:G69" si="1">ROUND((E7*0.8),-1)</f>
        <v>3120</v>
      </c>
      <c r="H7" s="16">
        <v>2015.4399999999998</v>
      </c>
      <c r="I7" s="16">
        <f t="shared" ref="I7:I70" si="2">ROUND(E7*1.18,-1)</f>
        <v>4600</v>
      </c>
      <c r="J7" s="16">
        <f t="shared" ref="J7:J69" si="3">ROUND(I7*0.65,-1)</f>
        <v>2990</v>
      </c>
      <c r="K7" s="16">
        <f t="shared" ref="K7:K69" si="4">ROUND(I7*0.7,-1)</f>
        <v>3220</v>
      </c>
      <c r="L7" s="16">
        <f>ROUND((I7*0.8),-1)</f>
        <v>3680</v>
      </c>
      <c r="M7" s="16">
        <f t="shared" ref="M7:M69" si="5">ROUND(I7*0.85,-1)</f>
        <v>3910</v>
      </c>
      <c r="N7" s="17">
        <f t="shared" ref="N7:N69" si="6">((L7-H7)/L7)</f>
        <v>0.45232608695652177</v>
      </c>
      <c r="O7" s="17">
        <f t="shared" ref="O7:O69" si="7">((I7-H7)/I7)</f>
        <v>0.56186086956521752</v>
      </c>
      <c r="P7">
        <f t="shared" ref="P7:P70" si="8">ROUND(E7*0.826,-1)</f>
        <v>3220</v>
      </c>
    </row>
    <row r="8" spans="1:16" ht="16" x14ac:dyDescent="0.2">
      <c r="A8" t="s">
        <v>189</v>
      </c>
      <c r="B8" s="13" t="s">
        <v>5</v>
      </c>
      <c r="C8" s="1" t="s">
        <v>6</v>
      </c>
      <c r="D8">
        <v>85182200</v>
      </c>
      <c r="E8" s="6">
        <v>4629</v>
      </c>
      <c r="F8" s="6">
        <f t="shared" si="0"/>
        <v>3240.2999999999997</v>
      </c>
      <c r="G8" s="16">
        <f t="shared" si="1"/>
        <v>3700</v>
      </c>
      <c r="H8" s="16">
        <v>2612.52</v>
      </c>
      <c r="I8" s="16">
        <f t="shared" si="2"/>
        <v>5460</v>
      </c>
      <c r="J8" s="16">
        <f t="shared" si="3"/>
        <v>3550</v>
      </c>
      <c r="K8" s="16">
        <f t="shared" si="4"/>
        <v>3820</v>
      </c>
      <c r="L8" s="16">
        <f>ROUND((I8*0.8),-1)</f>
        <v>4370</v>
      </c>
      <c r="M8" s="16">
        <f t="shared" si="5"/>
        <v>4640</v>
      </c>
      <c r="N8" s="17">
        <f t="shared" si="6"/>
        <v>0.40216933638443936</v>
      </c>
      <c r="O8" s="17">
        <f t="shared" si="7"/>
        <v>0.5215164835164835</v>
      </c>
      <c r="P8">
        <f t="shared" si="8"/>
        <v>3820</v>
      </c>
    </row>
    <row r="9" spans="1:16" ht="32" x14ac:dyDescent="0.2">
      <c r="A9" t="s">
        <v>189</v>
      </c>
      <c r="B9" s="13" t="s">
        <v>7</v>
      </c>
      <c r="C9" s="1" t="s">
        <v>8</v>
      </c>
      <c r="D9">
        <v>85182200</v>
      </c>
      <c r="E9" s="6">
        <v>6337</v>
      </c>
      <c r="F9" s="6">
        <f t="shared" si="0"/>
        <v>4435.8999999999996</v>
      </c>
      <c r="G9" s="16">
        <f t="shared" si="1"/>
        <v>5070</v>
      </c>
      <c r="H9" s="16">
        <v>3694.58</v>
      </c>
      <c r="I9" s="16">
        <f t="shared" si="2"/>
        <v>7480</v>
      </c>
      <c r="J9" s="16">
        <f t="shared" si="3"/>
        <v>4860</v>
      </c>
      <c r="K9" s="16">
        <f t="shared" si="4"/>
        <v>5240</v>
      </c>
      <c r="L9" s="16">
        <f t="shared" ref="L9:L71" si="9">ROUND((I9*0.8),-1)</f>
        <v>5980</v>
      </c>
      <c r="M9" s="16">
        <f t="shared" si="5"/>
        <v>6360</v>
      </c>
      <c r="N9" s="17">
        <f t="shared" si="6"/>
        <v>0.38217725752508364</v>
      </c>
      <c r="O9" s="17">
        <f t="shared" si="7"/>
        <v>0.50607219251336899</v>
      </c>
      <c r="P9">
        <f t="shared" si="8"/>
        <v>5230</v>
      </c>
    </row>
    <row r="10" spans="1:16" ht="32" x14ac:dyDescent="0.2">
      <c r="A10" t="s">
        <v>189</v>
      </c>
      <c r="B10" s="13" t="s">
        <v>58</v>
      </c>
      <c r="C10" s="1" t="s">
        <v>9</v>
      </c>
      <c r="D10">
        <v>85182200</v>
      </c>
      <c r="E10" s="6">
        <v>7314</v>
      </c>
      <c r="F10" s="6">
        <f t="shared" si="0"/>
        <v>5119.7999999999993</v>
      </c>
      <c r="G10" s="16">
        <f t="shared" si="1"/>
        <v>5850</v>
      </c>
      <c r="H10" s="16">
        <v>4253.8999999999996</v>
      </c>
      <c r="I10" s="16">
        <f t="shared" si="2"/>
        <v>8630</v>
      </c>
      <c r="J10" s="16">
        <f t="shared" si="3"/>
        <v>5610</v>
      </c>
      <c r="K10" s="16">
        <f t="shared" si="4"/>
        <v>6040</v>
      </c>
      <c r="L10" s="16">
        <f t="shared" si="9"/>
        <v>6900</v>
      </c>
      <c r="M10" s="16">
        <f t="shared" si="5"/>
        <v>7340</v>
      </c>
      <c r="N10" s="17">
        <f t="shared" si="6"/>
        <v>0.38349275362318846</v>
      </c>
      <c r="O10" s="17">
        <f t="shared" si="7"/>
        <v>0.50707995365005798</v>
      </c>
      <c r="P10">
        <f t="shared" si="8"/>
        <v>6040</v>
      </c>
    </row>
    <row r="11" spans="1:16" ht="33" thickBot="1" x14ac:dyDescent="0.25">
      <c r="A11" t="s">
        <v>189</v>
      </c>
      <c r="B11" s="14" t="s">
        <v>68</v>
      </c>
      <c r="C11" s="1" t="s">
        <v>69</v>
      </c>
      <c r="D11">
        <v>85182200</v>
      </c>
      <c r="E11" s="6">
        <v>9258</v>
      </c>
      <c r="F11" s="6">
        <f t="shared" si="0"/>
        <v>6480.5999999999995</v>
      </c>
      <c r="G11" s="16">
        <f t="shared" si="1"/>
        <v>7410</v>
      </c>
      <c r="H11" s="16">
        <v>5746.5999999999995</v>
      </c>
      <c r="I11" s="16">
        <f t="shared" si="2"/>
        <v>10920</v>
      </c>
      <c r="J11" s="16">
        <f t="shared" si="3"/>
        <v>7100</v>
      </c>
      <c r="K11" s="16">
        <f t="shared" si="4"/>
        <v>7640</v>
      </c>
      <c r="L11" s="16">
        <f t="shared" si="9"/>
        <v>8740</v>
      </c>
      <c r="M11" s="16">
        <f t="shared" si="5"/>
        <v>9280</v>
      </c>
      <c r="N11" s="17">
        <f t="shared" si="6"/>
        <v>0.34249427917620145</v>
      </c>
      <c r="O11" s="17">
        <f t="shared" si="7"/>
        <v>0.47375457875457883</v>
      </c>
      <c r="P11">
        <f t="shared" si="8"/>
        <v>7650</v>
      </c>
    </row>
    <row r="12" spans="1:16" ht="17" thickBot="1" x14ac:dyDescent="0.25">
      <c r="B12" s="10" t="s">
        <v>10</v>
      </c>
      <c r="C12" s="8"/>
      <c r="E12" s="6">
        <v>0</v>
      </c>
      <c r="F12" s="6">
        <f t="shared" si="0"/>
        <v>0</v>
      </c>
      <c r="G12" s="16">
        <f t="shared" si="1"/>
        <v>0</v>
      </c>
      <c r="H12" s="16">
        <v>0</v>
      </c>
      <c r="I12" s="16">
        <f t="shared" si="2"/>
        <v>0</v>
      </c>
      <c r="J12" s="16">
        <f t="shared" si="3"/>
        <v>0</v>
      </c>
      <c r="K12" s="16">
        <f t="shared" si="4"/>
        <v>0</v>
      </c>
      <c r="L12" s="16">
        <f t="shared" si="9"/>
        <v>0</v>
      </c>
      <c r="M12" s="16">
        <f t="shared" si="5"/>
        <v>0</v>
      </c>
      <c r="N12" s="17"/>
      <c r="O12" s="17"/>
      <c r="P12">
        <f t="shared" si="8"/>
        <v>0</v>
      </c>
    </row>
    <row r="13" spans="1:16" ht="16" x14ac:dyDescent="0.2">
      <c r="A13" t="s">
        <v>189</v>
      </c>
      <c r="B13" s="15" t="s">
        <v>11</v>
      </c>
      <c r="C13" s="1" t="s">
        <v>96</v>
      </c>
      <c r="D13">
        <v>85182200</v>
      </c>
      <c r="E13" s="6">
        <v>3910</v>
      </c>
      <c r="F13" s="6">
        <f t="shared" si="0"/>
        <v>2737</v>
      </c>
      <c r="G13" s="16">
        <f t="shared" si="1"/>
        <v>3130</v>
      </c>
      <c r="H13" s="16">
        <v>2388.3199999999997</v>
      </c>
      <c r="I13" s="16">
        <f t="shared" si="2"/>
        <v>4610</v>
      </c>
      <c r="J13" s="16">
        <f t="shared" si="3"/>
        <v>3000</v>
      </c>
      <c r="K13" s="16">
        <f t="shared" si="4"/>
        <v>3230</v>
      </c>
      <c r="L13" s="16">
        <f t="shared" si="9"/>
        <v>3690</v>
      </c>
      <c r="M13" s="16">
        <f t="shared" si="5"/>
        <v>3920</v>
      </c>
      <c r="N13" s="17">
        <f t="shared" si="6"/>
        <v>0.35275880758807598</v>
      </c>
      <c r="O13" s="17">
        <f t="shared" si="7"/>
        <v>0.48192624728850331</v>
      </c>
      <c r="P13">
        <f t="shared" si="8"/>
        <v>3230</v>
      </c>
    </row>
    <row r="14" spans="1:16" ht="32" x14ac:dyDescent="0.2">
      <c r="A14" t="s">
        <v>189</v>
      </c>
      <c r="B14" s="13" t="s">
        <v>13</v>
      </c>
      <c r="C14" s="1" t="s">
        <v>97</v>
      </c>
      <c r="D14">
        <v>85182200</v>
      </c>
      <c r="E14" s="6">
        <v>7475</v>
      </c>
      <c r="F14" s="6">
        <f t="shared" si="0"/>
        <v>5232.5</v>
      </c>
      <c r="G14" s="16">
        <f t="shared" si="1"/>
        <v>5980</v>
      </c>
      <c r="H14" s="16">
        <v>4612.62</v>
      </c>
      <c r="I14" s="16">
        <f t="shared" si="2"/>
        <v>8820</v>
      </c>
      <c r="J14" s="16">
        <f t="shared" si="3"/>
        <v>5730</v>
      </c>
      <c r="K14" s="16">
        <f t="shared" si="4"/>
        <v>6170</v>
      </c>
      <c r="L14" s="16">
        <f t="shared" si="9"/>
        <v>7060</v>
      </c>
      <c r="M14" s="16">
        <f t="shared" si="5"/>
        <v>7500</v>
      </c>
      <c r="N14" s="17">
        <f t="shared" si="6"/>
        <v>0.34665439093484418</v>
      </c>
      <c r="O14" s="17">
        <f t="shared" si="7"/>
        <v>0.47702721088435374</v>
      </c>
      <c r="P14">
        <f t="shared" si="8"/>
        <v>6170</v>
      </c>
    </row>
    <row r="15" spans="1:16" ht="32" x14ac:dyDescent="0.2">
      <c r="A15" t="s">
        <v>189</v>
      </c>
      <c r="B15" s="13" t="s">
        <v>52</v>
      </c>
      <c r="C15" s="1" t="s">
        <v>98</v>
      </c>
      <c r="D15">
        <v>85182200</v>
      </c>
      <c r="E15" s="6">
        <v>8970</v>
      </c>
      <c r="F15" s="6">
        <f t="shared" si="0"/>
        <v>6279</v>
      </c>
      <c r="G15" s="16">
        <f t="shared" si="1"/>
        <v>7180</v>
      </c>
      <c r="H15" s="16">
        <v>5448.0599999999995</v>
      </c>
      <c r="I15" s="16">
        <f t="shared" si="2"/>
        <v>10580</v>
      </c>
      <c r="J15" s="16">
        <f t="shared" si="3"/>
        <v>6880</v>
      </c>
      <c r="K15" s="16">
        <f t="shared" si="4"/>
        <v>7410</v>
      </c>
      <c r="L15" s="16">
        <f t="shared" si="9"/>
        <v>8460</v>
      </c>
      <c r="M15" s="16">
        <f t="shared" si="5"/>
        <v>8990</v>
      </c>
      <c r="N15" s="17">
        <f t="shared" si="6"/>
        <v>0.35602127659574473</v>
      </c>
      <c r="O15" s="17">
        <f t="shared" si="7"/>
        <v>0.48506049149338382</v>
      </c>
      <c r="P15">
        <f t="shared" si="8"/>
        <v>7410</v>
      </c>
    </row>
    <row r="16" spans="1:16" ht="16" x14ac:dyDescent="0.2">
      <c r="A16" t="s">
        <v>189</v>
      </c>
      <c r="B16" s="13" t="s">
        <v>15</v>
      </c>
      <c r="C16" s="1" t="s">
        <v>16</v>
      </c>
      <c r="D16">
        <v>85182200</v>
      </c>
      <c r="E16" s="6">
        <v>5980</v>
      </c>
      <c r="F16" s="6">
        <f t="shared" si="0"/>
        <v>4186</v>
      </c>
      <c r="G16" s="16">
        <f t="shared" si="1"/>
        <v>4780</v>
      </c>
      <c r="H16" s="16">
        <v>3236.74</v>
      </c>
      <c r="I16" s="16">
        <f t="shared" si="2"/>
        <v>7060</v>
      </c>
      <c r="J16" s="16">
        <f t="shared" si="3"/>
        <v>4590</v>
      </c>
      <c r="K16" s="16">
        <f t="shared" si="4"/>
        <v>4940</v>
      </c>
      <c r="L16" s="16">
        <f t="shared" si="9"/>
        <v>5650</v>
      </c>
      <c r="M16" s="16">
        <f t="shared" si="5"/>
        <v>6000</v>
      </c>
      <c r="N16" s="17">
        <f t="shared" si="6"/>
        <v>0.42712566371681421</v>
      </c>
      <c r="O16" s="17">
        <f t="shared" si="7"/>
        <v>0.5415382436260624</v>
      </c>
      <c r="P16">
        <f t="shared" si="8"/>
        <v>4940</v>
      </c>
    </row>
    <row r="17" spans="1:17" ht="21" customHeight="1" x14ac:dyDescent="0.2">
      <c r="A17" t="s">
        <v>189</v>
      </c>
      <c r="B17" s="13" t="s">
        <v>17</v>
      </c>
      <c r="C17" s="1" t="s">
        <v>16</v>
      </c>
      <c r="D17">
        <v>85182200</v>
      </c>
      <c r="E17" s="6">
        <v>7130</v>
      </c>
      <c r="F17" s="6">
        <f>E17*0.7</f>
        <v>4991</v>
      </c>
      <c r="G17" s="16">
        <f t="shared" si="1"/>
        <v>5700</v>
      </c>
      <c r="H17" s="16">
        <v>4220.8599999999997</v>
      </c>
      <c r="I17" s="16">
        <f t="shared" si="2"/>
        <v>8410</v>
      </c>
      <c r="J17" s="16">
        <f t="shared" si="3"/>
        <v>5470</v>
      </c>
      <c r="K17" s="16">
        <f t="shared" si="4"/>
        <v>5890</v>
      </c>
      <c r="L17" s="16">
        <f t="shared" si="9"/>
        <v>6730</v>
      </c>
      <c r="M17" s="16">
        <f t="shared" si="5"/>
        <v>7150</v>
      </c>
      <c r="N17" s="17">
        <f t="shared" si="6"/>
        <v>0.37282912332838042</v>
      </c>
      <c r="O17" s="17">
        <f t="shared" si="7"/>
        <v>0.49811414982164093</v>
      </c>
      <c r="P17">
        <f t="shared" si="8"/>
        <v>5890</v>
      </c>
    </row>
    <row r="18" spans="1:17" ht="17" customHeight="1" x14ac:dyDescent="0.2">
      <c r="A18" t="s">
        <v>189</v>
      </c>
      <c r="B18" s="13" t="s">
        <v>18</v>
      </c>
      <c r="C18" s="1" t="s">
        <v>157</v>
      </c>
      <c r="D18">
        <v>85182200</v>
      </c>
      <c r="E18" s="6">
        <v>3795</v>
      </c>
      <c r="F18" s="6">
        <f t="shared" si="0"/>
        <v>2656.5</v>
      </c>
      <c r="G18" s="16">
        <f t="shared" si="1"/>
        <v>3040</v>
      </c>
      <c r="H18" s="16">
        <v>2239.64</v>
      </c>
      <c r="I18" s="16">
        <f t="shared" si="2"/>
        <v>4480</v>
      </c>
      <c r="J18" s="16">
        <f t="shared" si="3"/>
        <v>2910</v>
      </c>
      <c r="K18" s="16">
        <f t="shared" si="4"/>
        <v>3140</v>
      </c>
      <c r="L18" s="16">
        <f t="shared" si="9"/>
        <v>3580</v>
      </c>
      <c r="M18" s="16">
        <f t="shared" si="5"/>
        <v>3810</v>
      </c>
      <c r="N18" s="17">
        <f t="shared" si="6"/>
        <v>0.37440223463687156</v>
      </c>
      <c r="O18" s="17">
        <f t="shared" si="7"/>
        <v>0.50008035714285715</v>
      </c>
      <c r="P18">
        <f t="shared" si="8"/>
        <v>3130</v>
      </c>
    </row>
    <row r="19" spans="1:17" ht="16" x14ac:dyDescent="0.2">
      <c r="A19" t="s">
        <v>189</v>
      </c>
      <c r="B19" s="13" t="s">
        <v>20</v>
      </c>
      <c r="C19" s="1" t="s">
        <v>158</v>
      </c>
      <c r="D19">
        <v>85182200</v>
      </c>
      <c r="E19" s="6">
        <v>4198</v>
      </c>
      <c r="F19" s="6">
        <f t="shared" si="0"/>
        <v>2938.6</v>
      </c>
      <c r="G19" s="16">
        <f t="shared" si="1"/>
        <v>3360</v>
      </c>
      <c r="H19" s="16">
        <v>2462.66</v>
      </c>
      <c r="I19" s="16">
        <f t="shared" si="2"/>
        <v>4950</v>
      </c>
      <c r="J19" s="16">
        <f t="shared" si="3"/>
        <v>3220</v>
      </c>
      <c r="K19" s="16">
        <f t="shared" si="4"/>
        <v>3470</v>
      </c>
      <c r="L19" s="16">
        <f t="shared" si="9"/>
        <v>3960</v>
      </c>
      <c r="M19" s="16">
        <f t="shared" si="5"/>
        <v>4210</v>
      </c>
      <c r="N19" s="17">
        <f t="shared" si="6"/>
        <v>0.37811616161616163</v>
      </c>
      <c r="O19" s="17">
        <f t="shared" si="7"/>
        <v>0.50249292929292932</v>
      </c>
      <c r="P19">
        <f t="shared" si="8"/>
        <v>3470</v>
      </c>
    </row>
    <row r="20" spans="1:17" ht="32" x14ac:dyDescent="0.2">
      <c r="A20" t="s">
        <v>189</v>
      </c>
      <c r="B20" s="13" t="s">
        <v>55</v>
      </c>
      <c r="C20" s="1" t="s">
        <v>159</v>
      </c>
      <c r="D20">
        <v>85182200</v>
      </c>
      <c r="E20" s="6">
        <v>16330</v>
      </c>
      <c r="F20" s="6">
        <f t="shared" si="0"/>
        <v>11431</v>
      </c>
      <c r="G20" s="16">
        <f t="shared" si="1"/>
        <v>13060</v>
      </c>
      <c r="H20" s="16">
        <v>9926.16</v>
      </c>
      <c r="I20" s="16">
        <f t="shared" si="2"/>
        <v>19270</v>
      </c>
      <c r="J20" s="16">
        <f t="shared" si="3"/>
        <v>12530</v>
      </c>
      <c r="K20" s="16">
        <f t="shared" si="4"/>
        <v>13490</v>
      </c>
      <c r="L20" s="16">
        <f t="shared" si="9"/>
        <v>15420</v>
      </c>
      <c r="M20" s="16">
        <f t="shared" si="5"/>
        <v>16380</v>
      </c>
      <c r="N20" s="17">
        <f t="shared" si="6"/>
        <v>0.35628015564202337</v>
      </c>
      <c r="O20" s="17">
        <f t="shared" si="7"/>
        <v>0.48489050337311884</v>
      </c>
      <c r="P20">
        <f t="shared" si="8"/>
        <v>13490</v>
      </c>
    </row>
    <row r="21" spans="1:17" ht="16" x14ac:dyDescent="0.2">
      <c r="A21" t="s">
        <v>189</v>
      </c>
      <c r="B21" s="13" t="s">
        <v>22</v>
      </c>
      <c r="C21" s="1" t="s">
        <v>160</v>
      </c>
      <c r="D21">
        <v>85182200</v>
      </c>
      <c r="E21" s="6">
        <v>14375</v>
      </c>
      <c r="F21" s="6">
        <f t="shared" si="0"/>
        <v>10062.5</v>
      </c>
      <c r="G21" s="16">
        <f t="shared" si="1"/>
        <v>11500</v>
      </c>
      <c r="H21" s="16">
        <v>8732</v>
      </c>
      <c r="I21" s="16">
        <f t="shared" si="2"/>
        <v>16960</v>
      </c>
      <c r="J21" s="16">
        <f t="shared" si="3"/>
        <v>11020</v>
      </c>
      <c r="K21" s="16">
        <f t="shared" si="4"/>
        <v>11870</v>
      </c>
      <c r="L21" s="16">
        <f t="shared" si="9"/>
        <v>13570</v>
      </c>
      <c r="M21" s="16">
        <f t="shared" si="5"/>
        <v>14420</v>
      </c>
      <c r="N21" s="17">
        <f t="shared" si="6"/>
        <v>0.35652173913043478</v>
      </c>
      <c r="O21" s="17">
        <f t="shared" si="7"/>
        <v>0.48514150943396228</v>
      </c>
      <c r="P21">
        <f t="shared" si="8"/>
        <v>11870</v>
      </c>
      <c r="Q21">
        <v>8</v>
      </c>
    </row>
    <row r="22" spans="1:17" ht="33" thickBot="1" x14ac:dyDescent="0.25">
      <c r="A22" t="s">
        <v>189</v>
      </c>
      <c r="B22" s="14" t="s">
        <v>24</v>
      </c>
      <c r="C22" s="1" t="s">
        <v>161</v>
      </c>
      <c r="D22">
        <v>85182200</v>
      </c>
      <c r="E22" s="6">
        <v>16445</v>
      </c>
      <c r="F22" s="6">
        <f t="shared" si="0"/>
        <v>11511.5</v>
      </c>
      <c r="G22" s="16">
        <f t="shared" si="1"/>
        <v>13160</v>
      </c>
      <c r="H22" s="16">
        <v>10374.56</v>
      </c>
      <c r="I22" s="16">
        <f t="shared" si="2"/>
        <v>19410</v>
      </c>
      <c r="J22" s="16">
        <f t="shared" si="3"/>
        <v>12620</v>
      </c>
      <c r="K22" s="16">
        <f t="shared" si="4"/>
        <v>13590</v>
      </c>
      <c r="L22" s="16">
        <f t="shared" si="9"/>
        <v>15530</v>
      </c>
      <c r="M22" s="16">
        <f t="shared" si="5"/>
        <v>16500</v>
      </c>
      <c r="N22" s="17">
        <f t="shared" si="6"/>
        <v>0.3319665164198326</v>
      </c>
      <c r="O22" s="17">
        <f t="shared" si="7"/>
        <v>0.46550437918598664</v>
      </c>
      <c r="P22">
        <f t="shared" si="8"/>
        <v>13580</v>
      </c>
    </row>
    <row r="23" spans="1:17" ht="17" thickBot="1" x14ac:dyDescent="0.25">
      <c r="B23" s="10" t="s">
        <v>61</v>
      </c>
      <c r="C23" s="8"/>
      <c r="E23" s="6">
        <v>0</v>
      </c>
      <c r="F23" s="6">
        <f t="shared" si="0"/>
        <v>0</v>
      </c>
      <c r="G23" s="16">
        <f t="shared" si="1"/>
        <v>0</v>
      </c>
      <c r="H23" s="16">
        <v>0</v>
      </c>
      <c r="I23" s="16">
        <f t="shared" si="2"/>
        <v>0</v>
      </c>
      <c r="J23" s="16">
        <f t="shared" si="3"/>
        <v>0</v>
      </c>
      <c r="K23" s="16">
        <f t="shared" si="4"/>
        <v>0</v>
      </c>
      <c r="L23" s="16">
        <f t="shared" si="9"/>
        <v>0</v>
      </c>
      <c r="M23" s="16">
        <f t="shared" si="5"/>
        <v>0</v>
      </c>
      <c r="N23" s="17"/>
      <c r="O23" s="17"/>
      <c r="P23">
        <f t="shared" si="8"/>
        <v>0</v>
      </c>
    </row>
    <row r="24" spans="1:17" ht="32" x14ac:dyDescent="0.2">
      <c r="A24" t="s">
        <v>189</v>
      </c>
      <c r="B24" s="15" t="s">
        <v>62</v>
      </c>
      <c r="C24" s="1" t="s">
        <v>162</v>
      </c>
      <c r="D24">
        <v>85182200</v>
      </c>
      <c r="E24" s="6">
        <v>12650</v>
      </c>
      <c r="F24" s="6">
        <f t="shared" si="0"/>
        <v>8855</v>
      </c>
      <c r="G24" s="16">
        <f t="shared" si="1"/>
        <v>10120</v>
      </c>
      <c r="H24" s="16">
        <v>7568.5199999999995</v>
      </c>
      <c r="I24" s="16">
        <f t="shared" si="2"/>
        <v>14930</v>
      </c>
      <c r="J24" s="16">
        <f t="shared" si="3"/>
        <v>9700</v>
      </c>
      <c r="K24" s="16">
        <f t="shared" si="4"/>
        <v>10450</v>
      </c>
      <c r="L24" s="16">
        <f t="shared" si="9"/>
        <v>11940</v>
      </c>
      <c r="M24" s="16">
        <f t="shared" si="5"/>
        <v>12690</v>
      </c>
      <c r="N24" s="17">
        <f t="shared" si="6"/>
        <v>0.36612060301507543</v>
      </c>
      <c r="O24" s="17">
        <f t="shared" si="7"/>
        <v>0.49306630944407237</v>
      </c>
      <c r="P24">
        <f t="shared" si="8"/>
        <v>10450</v>
      </c>
    </row>
    <row r="25" spans="1:17" ht="33" thickBot="1" x14ac:dyDescent="0.25">
      <c r="A25" t="s">
        <v>189</v>
      </c>
      <c r="B25" s="14" t="s">
        <v>63</v>
      </c>
      <c r="C25" s="1" t="s">
        <v>163</v>
      </c>
      <c r="D25">
        <v>85182200</v>
      </c>
      <c r="E25" s="6">
        <v>14720</v>
      </c>
      <c r="F25" s="6">
        <f t="shared" si="0"/>
        <v>10304</v>
      </c>
      <c r="G25" s="16">
        <f t="shared" si="1"/>
        <v>11780</v>
      </c>
      <c r="H25" s="16">
        <v>8314.2799999999988</v>
      </c>
      <c r="I25" s="16">
        <f t="shared" si="2"/>
        <v>17370</v>
      </c>
      <c r="J25" s="16">
        <f t="shared" si="3"/>
        <v>11290</v>
      </c>
      <c r="K25" s="16">
        <f t="shared" si="4"/>
        <v>12160</v>
      </c>
      <c r="L25" s="16">
        <f t="shared" si="9"/>
        <v>13900</v>
      </c>
      <c r="M25" s="16">
        <f t="shared" si="5"/>
        <v>14760</v>
      </c>
      <c r="N25" s="17">
        <f t="shared" si="6"/>
        <v>0.40185035971223032</v>
      </c>
      <c r="O25" s="17">
        <f t="shared" si="7"/>
        <v>0.52134254461715612</v>
      </c>
      <c r="P25">
        <f t="shared" si="8"/>
        <v>12160</v>
      </c>
    </row>
    <row r="26" spans="1:17" ht="17" thickBot="1" x14ac:dyDescent="0.25">
      <c r="B26" s="10" t="s">
        <v>26</v>
      </c>
      <c r="C26" s="8"/>
      <c r="D26" s="44"/>
      <c r="E26" s="6">
        <v>0</v>
      </c>
      <c r="F26" s="6">
        <f t="shared" si="0"/>
        <v>0</v>
      </c>
      <c r="G26" s="16">
        <f t="shared" si="1"/>
        <v>0</v>
      </c>
      <c r="H26" s="16">
        <v>0</v>
      </c>
      <c r="I26" s="16">
        <f t="shared" si="2"/>
        <v>0</v>
      </c>
      <c r="J26" s="16">
        <f t="shared" si="3"/>
        <v>0</v>
      </c>
      <c r="K26" s="16">
        <f t="shared" si="4"/>
        <v>0</v>
      </c>
      <c r="L26" s="16">
        <f t="shared" si="9"/>
        <v>0</v>
      </c>
      <c r="M26" s="16">
        <f t="shared" si="5"/>
        <v>0</v>
      </c>
      <c r="N26" s="17"/>
      <c r="O26" s="17"/>
      <c r="P26">
        <f t="shared" si="8"/>
        <v>0</v>
      </c>
    </row>
    <row r="27" spans="1:17" ht="16" x14ac:dyDescent="0.2">
      <c r="A27" t="s">
        <v>189</v>
      </c>
      <c r="B27" s="15" t="s">
        <v>27</v>
      </c>
      <c r="C27" s="1" t="s">
        <v>94</v>
      </c>
      <c r="D27">
        <v>85182900</v>
      </c>
      <c r="E27" s="6">
        <v>12880</v>
      </c>
      <c r="F27" s="6">
        <f t="shared" si="0"/>
        <v>9016</v>
      </c>
      <c r="G27" s="16">
        <f t="shared" si="1"/>
        <v>10300</v>
      </c>
      <c r="H27" s="16">
        <v>7463.5</v>
      </c>
      <c r="I27" s="16">
        <f t="shared" si="2"/>
        <v>15200</v>
      </c>
      <c r="J27" s="16">
        <f t="shared" si="3"/>
        <v>9880</v>
      </c>
      <c r="K27" s="16">
        <f t="shared" si="4"/>
        <v>10640</v>
      </c>
      <c r="L27" s="16">
        <f t="shared" si="9"/>
        <v>12160</v>
      </c>
      <c r="M27" s="16">
        <f t="shared" si="5"/>
        <v>12920</v>
      </c>
      <c r="N27" s="17">
        <f t="shared" si="6"/>
        <v>0.38622532894736844</v>
      </c>
      <c r="O27" s="17">
        <f t="shared" si="7"/>
        <v>0.50898026315789469</v>
      </c>
      <c r="P27">
        <f t="shared" si="8"/>
        <v>10640</v>
      </c>
    </row>
    <row r="28" spans="1:17" ht="16" x14ac:dyDescent="0.2">
      <c r="A28" t="s">
        <v>189</v>
      </c>
      <c r="B28" s="13" t="s">
        <v>30</v>
      </c>
      <c r="C28" s="1" t="s">
        <v>95</v>
      </c>
      <c r="D28">
        <v>85182900</v>
      </c>
      <c r="E28" s="6">
        <v>28175</v>
      </c>
      <c r="F28" s="6">
        <f t="shared" si="0"/>
        <v>19722.5</v>
      </c>
      <c r="G28" s="16">
        <f t="shared" si="1"/>
        <v>22540</v>
      </c>
      <c r="H28" s="16">
        <v>16419.7</v>
      </c>
      <c r="I28" s="16">
        <f t="shared" si="2"/>
        <v>33250</v>
      </c>
      <c r="J28" s="16">
        <f t="shared" si="3"/>
        <v>21610</v>
      </c>
      <c r="K28" s="16">
        <f t="shared" si="4"/>
        <v>23280</v>
      </c>
      <c r="L28" s="16">
        <f t="shared" si="9"/>
        <v>26600</v>
      </c>
      <c r="M28" s="16">
        <f t="shared" si="5"/>
        <v>28260</v>
      </c>
      <c r="N28" s="17">
        <f t="shared" si="6"/>
        <v>0.3827180451127819</v>
      </c>
      <c r="O28" s="17">
        <f t="shared" si="7"/>
        <v>0.5061744360902255</v>
      </c>
      <c r="P28">
        <f t="shared" si="8"/>
        <v>23270</v>
      </c>
    </row>
    <row r="29" spans="1:17" ht="16" x14ac:dyDescent="0.2">
      <c r="A29" t="s">
        <v>189</v>
      </c>
      <c r="B29" s="13" t="s">
        <v>31</v>
      </c>
      <c r="C29" s="1" t="s">
        <v>92</v>
      </c>
      <c r="D29">
        <v>85182900</v>
      </c>
      <c r="E29" s="6">
        <v>26220</v>
      </c>
      <c r="F29" s="6">
        <f t="shared" si="0"/>
        <v>18354</v>
      </c>
      <c r="G29" s="16">
        <f t="shared" si="1"/>
        <v>20980</v>
      </c>
      <c r="H29" s="16">
        <v>14837.32</v>
      </c>
      <c r="I29" s="16">
        <f t="shared" si="2"/>
        <v>30940</v>
      </c>
      <c r="J29" s="16">
        <f t="shared" si="3"/>
        <v>20110</v>
      </c>
      <c r="K29" s="16">
        <f t="shared" si="4"/>
        <v>21660</v>
      </c>
      <c r="L29" s="16">
        <f t="shared" si="9"/>
        <v>24750</v>
      </c>
      <c r="M29" s="16">
        <f t="shared" si="5"/>
        <v>26300</v>
      </c>
      <c r="N29" s="17">
        <f t="shared" si="6"/>
        <v>0.40051232323232322</v>
      </c>
      <c r="O29" s="17">
        <f t="shared" si="7"/>
        <v>0.52044861021331612</v>
      </c>
      <c r="P29">
        <f t="shared" si="8"/>
        <v>21660</v>
      </c>
      <c r="Q29">
        <v>1</v>
      </c>
    </row>
    <row r="30" spans="1:17" ht="17" thickBot="1" x14ac:dyDescent="0.25">
      <c r="A30" t="s">
        <v>189</v>
      </c>
      <c r="B30" s="14" t="s">
        <v>33</v>
      </c>
      <c r="C30" s="1" t="s">
        <v>93</v>
      </c>
      <c r="D30">
        <v>85182900</v>
      </c>
      <c r="E30" s="6">
        <v>55200</v>
      </c>
      <c r="F30" s="6">
        <f t="shared" si="0"/>
        <v>38640</v>
      </c>
      <c r="G30" s="16">
        <f t="shared" si="1"/>
        <v>44160</v>
      </c>
      <c r="H30" s="16">
        <v>34332.1</v>
      </c>
      <c r="I30" s="16">
        <f t="shared" si="2"/>
        <v>65140</v>
      </c>
      <c r="J30" s="16">
        <f t="shared" si="3"/>
        <v>42340</v>
      </c>
      <c r="K30" s="16">
        <f t="shared" si="4"/>
        <v>45600</v>
      </c>
      <c r="L30" s="16">
        <f t="shared" si="9"/>
        <v>52110</v>
      </c>
      <c r="M30" s="16">
        <f t="shared" si="5"/>
        <v>55370</v>
      </c>
      <c r="N30" s="17">
        <f t="shared" si="6"/>
        <v>0.34116100556515067</v>
      </c>
      <c r="O30" s="17">
        <f t="shared" si="7"/>
        <v>0.4729490328523181</v>
      </c>
      <c r="P30">
        <f t="shared" si="8"/>
        <v>45600</v>
      </c>
    </row>
    <row r="31" spans="1:17" ht="17" thickBot="1" x14ac:dyDescent="0.25">
      <c r="B31" s="10" t="s">
        <v>35</v>
      </c>
      <c r="C31" s="8"/>
      <c r="D31">
        <v>85182900</v>
      </c>
      <c r="E31" s="6">
        <v>0</v>
      </c>
      <c r="F31" s="6">
        <f t="shared" si="0"/>
        <v>0</v>
      </c>
      <c r="G31" s="16">
        <f t="shared" si="1"/>
        <v>0</v>
      </c>
      <c r="H31" s="16">
        <v>0</v>
      </c>
      <c r="I31" s="16">
        <f t="shared" si="2"/>
        <v>0</v>
      </c>
      <c r="J31" s="16">
        <f t="shared" si="3"/>
        <v>0</v>
      </c>
      <c r="K31" s="16">
        <f t="shared" si="4"/>
        <v>0</v>
      </c>
      <c r="L31" s="16">
        <f t="shared" si="9"/>
        <v>0</v>
      </c>
      <c r="M31" s="16">
        <f t="shared" si="5"/>
        <v>0</v>
      </c>
      <c r="N31" s="17"/>
      <c r="O31" s="17"/>
      <c r="P31">
        <f t="shared" si="8"/>
        <v>0</v>
      </c>
    </row>
    <row r="32" spans="1:17" ht="32" x14ac:dyDescent="0.2">
      <c r="A32" t="s">
        <v>189</v>
      </c>
      <c r="B32" s="15" t="s">
        <v>36</v>
      </c>
      <c r="C32" s="1" t="s">
        <v>89</v>
      </c>
      <c r="D32">
        <v>85184000</v>
      </c>
      <c r="E32" s="6">
        <v>29095</v>
      </c>
      <c r="F32" s="6">
        <f t="shared" si="0"/>
        <v>20366.5</v>
      </c>
      <c r="G32" s="16">
        <f t="shared" si="1"/>
        <v>23280</v>
      </c>
      <c r="H32" s="16">
        <v>16271.019999999999</v>
      </c>
      <c r="I32" s="16">
        <f t="shared" si="2"/>
        <v>34330</v>
      </c>
      <c r="J32" s="16">
        <f t="shared" si="3"/>
        <v>22310</v>
      </c>
      <c r="K32" s="16">
        <f t="shared" si="4"/>
        <v>24030</v>
      </c>
      <c r="L32" s="16">
        <f t="shared" si="9"/>
        <v>27460</v>
      </c>
      <c r="M32" s="16">
        <f t="shared" si="5"/>
        <v>29180</v>
      </c>
      <c r="N32" s="17">
        <f t="shared" si="6"/>
        <v>0.40746467589220692</v>
      </c>
      <c r="O32" s="17">
        <f t="shared" si="7"/>
        <v>0.52604078065831639</v>
      </c>
      <c r="P32">
        <f t="shared" si="8"/>
        <v>24030</v>
      </c>
    </row>
    <row r="33" spans="1:17" ht="16" x14ac:dyDescent="0.2">
      <c r="A33" t="s">
        <v>189</v>
      </c>
      <c r="B33" s="13" t="s">
        <v>38</v>
      </c>
      <c r="C33" s="1" t="s">
        <v>39</v>
      </c>
      <c r="D33">
        <v>85184000</v>
      </c>
      <c r="E33" s="6">
        <v>30475</v>
      </c>
      <c r="F33" s="6">
        <f t="shared" si="0"/>
        <v>21332.5</v>
      </c>
      <c r="G33" s="16">
        <f t="shared" si="1"/>
        <v>24380</v>
      </c>
      <c r="H33" s="16">
        <v>18285.28</v>
      </c>
      <c r="I33" s="16">
        <f t="shared" si="2"/>
        <v>35960</v>
      </c>
      <c r="J33" s="16">
        <f t="shared" si="3"/>
        <v>23370</v>
      </c>
      <c r="K33" s="16">
        <f t="shared" si="4"/>
        <v>25170</v>
      </c>
      <c r="L33" s="16">
        <f t="shared" si="9"/>
        <v>28770</v>
      </c>
      <c r="M33" s="16">
        <f t="shared" si="5"/>
        <v>30570</v>
      </c>
      <c r="N33" s="17">
        <f t="shared" si="6"/>
        <v>0.36443239485575257</v>
      </c>
      <c r="O33" s="17">
        <f t="shared" si="7"/>
        <v>0.49151056729699671</v>
      </c>
      <c r="P33">
        <f t="shared" si="8"/>
        <v>25170</v>
      </c>
      <c r="Q33">
        <v>1</v>
      </c>
    </row>
    <row r="34" spans="1:17" ht="16" x14ac:dyDescent="0.2">
      <c r="A34" t="s">
        <v>189</v>
      </c>
      <c r="B34" s="13" t="s">
        <v>40</v>
      </c>
      <c r="C34" s="1" t="s">
        <v>41</v>
      </c>
      <c r="D34">
        <v>85184000</v>
      </c>
      <c r="E34" s="6">
        <v>24380</v>
      </c>
      <c r="F34" s="6">
        <f t="shared" si="0"/>
        <v>17066</v>
      </c>
      <c r="G34" s="16">
        <f t="shared" si="1"/>
        <v>19500</v>
      </c>
      <c r="H34" s="16">
        <v>14849.119999999999</v>
      </c>
      <c r="I34" s="16">
        <f t="shared" si="2"/>
        <v>28770</v>
      </c>
      <c r="J34" s="16">
        <f t="shared" si="3"/>
        <v>18700</v>
      </c>
      <c r="K34" s="16">
        <f t="shared" si="4"/>
        <v>20140</v>
      </c>
      <c r="L34" s="16">
        <f t="shared" si="9"/>
        <v>23020</v>
      </c>
      <c r="M34" s="16">
        <f t="shared" si="5"/>
        <v>24450</v>
      </c>
      <c r="N34" s="17">
        <f t="shared" si="6"/>
        <v>0.35494700260642925</v>
      </c>
      <c r="O34" s="17">
        <f t="shared" si="7"/>
        <v>0.48386791797010781</v>
      </c>
      <c r="P34">
        <f t="shared" si="8"/>
        <v>20140</v>
      </c>
    </row>
    <row r="35" spans="1:17" ht="16" x14ac:dyDescent="0.2">
      <c r="A35" t="s">
        <v>189</v>
      </c>
      <c r="B35" s="13" t="s">
        <v>42</v>
      </c>
      <c r="C35" s="1" t="s">
        <v>43</v>
      </c>
      <c r="D35">
        <v>85184000</v>
      </c>
      <c r="E35" s="6">
        <v>17825</v>
      </c>
      <c r="F35" s="6">
        <f t="shared" si="0"/>
        <v>12477.5</v>
      </c>
      <c r="G35" s="16">
        <f t="shared" si="1"/>
        <v>14260</v>
      </c>
      <c r="H35" s="16">
        <v>11254.84</v>
      </c>
      <c r="I35" s="16">
        <f t="shared" si="2"/>
        <v>21030</v>
      </c>
      <c r="J35" s="16">
        <f t="shared" si="3"/>
        <v>13670</v>
      </c>
      <c r="K35" s="16">
        <f t="shared" si="4"/>
        <v>14720</v>
      </c>
      <c r="L35" s="16">
        <f t="shared" si="9"/>
        <v>16820</v>
      </c>
      <c r="M35" s="16">
        <f t="shared" si="5"/>
        <v>17880</v>
      </c>
      <c r="N35" s="17">
        <f t="shared" si="6"/>
        <v>0.33086563614744352</v>
      </c>
      <c r="O35" s="17">
        <f t="shared" si="7"/>
        <v>0.46481978126485973</v>
      </c>
      <c r="P35">
        <f t="shared" si="8"/>
        <v>14720</v>
      </c>
    </row>
    <row r="36" spans="1:17" ht="16" x14ac:dyDescent="0.2">
      <c r="A36" t="s">
        <v>189</v>
      </c>
      <c r="B36" s="13" t="s">
        <v>44</v>
      </c>
      <c r="C36" s="1" t="s">
        <v>88</v>
      </c>
      <c r="D36">
        <v>85184000</v>
      </c>
      <c r="E36" s="6">
        <v>29095</v>
      </c>
      <c r="F36" s="6">
        <f t="shared" si="0"/>
        <v>20366.5</v>
      </c>
      <c r="G36" s="16">
        <f t="shared" si="1"/>
        <v>23280</v>
      </c>
      <c r="H36" s="16">
        <v>15673.939999999999</v>
      </c>
      <c r="I36" s="16">
        <f t="shared" si="2"/>
        <v>34330</v>
      </c>
      <c r="J36" s="16">
        <f t="shared" si="3"/>
        <v>22310</v>
      </c>
      <c r="K36" s="16">
        <f t="shared" si="4"/>
        <v>24030</v>
      </c>
      <c r="L36" s="16">
        <f t="shared" si="9"/>
        <v>27460</v>
      </c>
      <c r="M36" s="16">
        <f t="shared" si="5"/>
        <v>29180</v>
      </c>
      <c r="N36" s="17">
        <f t="shared" si="6"/>
        <v>0.42920830298616175</v>
      </c>
      <c r="O36" s="17">
        <f t="shared" si="7"/>
        <v>0.54343314884940286</v>
      </c>
      <c r="P36">
        <f t="shared" si="8"/>
        <v>24030</v>
      </c>
    </row>
    <row r="37" spans="1:17" ht="16" x14ac:dyDescent="0.2">
      <c r="A37" t="s">
        <v>189</v>
      </c>
      <c r="B37" s="13" t="s">
        <v>81</v>
      </c>
      <c r="C37" s="1" t="s">
        <v>82</v>
      </c>
      <c r="D37">
        <v>85184000</v>
      </c>
      <c r="E37" s="6">
        <v>31878</v>
      </c>
      <c r="F37" s="6">
        <f t="shared" si="0"/>
        <v>22314.6</v>
      </c>
      <c r="G37" s="16">
        <f t="shared" si="1"/>
        <v>25500</v>
      </c>
      <c r="H37" s="16">
        <v>18808.02</v>
      </c>
      <c r="I37" s="16">
        <f t="shared" si="2"/>
        <v>37620</v>
      </c>
      <c r="J37" s="16">
        <f t="shared" si="3"/>
        <v>24450</v>
      </c>
      <c r="K37" s="16">
        <f t="shared" si="4"/>
        <v>26330</v>
      </c>
      <c r="L37" s="16">
        <f t="shared" si="9"/>
        <v>30100</v>
      </c>
      <c r="M37" s="16">
        <f t="shared" si="5"/>
        <v>31980</v>
      </c>
      <c r="N37" s="17">
        <f t="shared" si="6"/>
        <v>0.37514883720930231</v>
      </c>
      <c r="O37" s="17">
        <f t="shared" si="7"/>
        <v>0.5000526315789473</v>
      </c>
      <c r="P37">
        <f t="shared" si="8"/>
        <v>26330</v>
      </c>
    </row>
    <row r="38" spans="1:17" ht="16" x14ac:dyDescent="0.2">
      <c r="A38" t="s">
        <v>189</v>
      </c>
      <c r="B38" s="13" t="s">
        <v>72</v>
      </c>
      <c r="C38" s="1" t="s">
        <v>73</v>
      </c>
      <c r="D38">
        <v>85184000</v>
      </c>
      <c r="E38" s="6">
        <v>18975</v>
      </c>
      <c r="F38" s="6">
        <f t="shared" si="0"/>
        <v>13282.5</v>
      </c>
      <c r="G38" s="16">
        <f t="shared" si="1"/>
        <v>15180</v>
      </c>
      <c r="H38" s="16">
        <v>12165.8</v>
      </c>
      <c r="I38" s="16">
        <f t="shared" si="2"/>
        <v>22390</v>
      </c>
      <c r="J38" s="16">
        <f t="shared" si="3"/>
        <v>14550</v>
      </c>
      <c r="K38" s="16">
        <f t="shared" si="4"/>
        <v>15670</v>
      </c>
      <c r="L38" s="16">
        <f t="shared" si="9"/>
        <v>17910</v>
      </c>
      <c r="M38" s="16">
        <f t="shared" si="5"/>
        <v>19030</v>
      </c>
      <c r="N38" s="17">
        <f t="shared" si="6"/>
        <v>0.32072585147962035</v>
      </c>
      <c r="O38" s="17">
        <f t="shared" si="7"/>
        <v>0.45664135774899511</v>
      </c>
      <c r="P38">
        <f t="shared" si="8"/>
        <v>15670</v>
      </c>
    </row>
    <row r="39" spans="1:17" ht="16" x14ac:dyDescent="0.2">
      <c r="A39" t="s">
        <v>189</v>
      </c>
      <c r="B39" s="13" t="s">
        <v>46</v>
      </c>
      <c r="C39" s="1" t="s">
        <v>47</v>
      </c>
      <c r="D39">
        <v>85184000</v>
      </c>
      <c r="E39" s="6">
        <v>28405</v>
      </c>
      <c r="F39" s="6">
        <f t="shared" si="0"/>
        <v>19883.5</v>
      </c>
      <c r="G39" s="16">
        <f t="shared" si="1"/>
        <v>22720</v>
      </c>
      <c r="H39" s="16">
        <v>17553.68</v>
      </c>
      <c r="I39" s="16">
        <f t="shared" si="2"/>
        <v>33520</v>
      </c>
      <c r="J39" s="16">
        <f t="shared" si="3"/>
        <v>21790</v>
      </c>
      <c r="K39" s="16">
        <f t="shared" si="4"/>
        <v>23460</v>
      </c>
      <c r="L39" s="16">
        <f t="shared" si="9"/>
        <v>26820</v>
      </c>
      <c r="M39" s="16">
        <f t="shared" si="5"/>
        <v>28490</v>
      </c>
      <c r="N39" s="17">
        <f t="shared" si="6"/>
        <v>0.34550037285607754</v>
      </c>
      <c r="O39" s="17">
        <f t="shared" si="7"/>
        <v>0.47632219570405726</v>
      </c>
      <c r="P39">
        <f t="shared" si="8"/>
        <v>23460</v>
      </c>
    </row>
    <row r="40" spans="1:17" ht="16" x14ac:dyDescent="0.2">
      <c r="A40" t="s">
        <v>189</v>
      </c>
      <c r="B40" s="13" t="s">
        <v>48</v>
      </c>
      <c r="C40" s="1" t="s">
        <v>49</v>
      </c>
      <c r="D40">
        <v>85184000</v>
      </c>
      <c r="E40" s="6">
        <v>39790</v>
      </c>
      <c r="F40" s="6">
        <f t="shared" si="0"/>
        <v>27853</v>
      </c>
      <c r="G40" s="16">
        <f t="shared" si="1"/>
        <v>31830</v>
      </c>
      <c r="H40" s="16">
        <v>25256.719999999998</v>
      </c>
      <c r="I40" s="16">
        <f t="shared" si="2"/>
        <v>46950</v>
      </c>
      <c r="J40" s="16">
        <f t="shared" si="3"/>
        <v>30520</v>
      </c>
      <c r="K40" s="16">
        <f t="shared" si="4"/>
        <v>32870</v>
      </c>
      <c r="L40" s="16">
        <f t="shared" si="9"/>
        <v>37560</v>
      </c>
      <c r="M40" s="16">
        <f t="shared" si="5"/>
        <v>39910</v>
      </c>
      <c r="N40" s="17">
        <f t="shared" si="6"/>
        <v>0.32756336528221519</v>
      </c>
      <c r="O40" s="17">
        <f t="shared" si="7"/>
        <v>0.46205069222577216</v>
      </c>
      <c r="P40">
        <f t="shared" si="8"/>
        <v>32870</v>
      </c>
    </row>
    <row r="41" spans="1:17" ht="16" x14ac:dyDescent="0.2">
      <c r="A41" t="s">
        <v>189</v>
      </c>
      <c r="B41" s="13" t="s">
        <v>74</v>
      </c>
      <c r="C41" s="1" t="s">
        <v>75</v>
      </c>
      <c r="D41">
        <v>85184000</v>
      </c>
      <c r="E41" s="6">
        <v>48415</v>
      </c>
      <c r="F41" s="6">
        <f t="shared" si="0"/>
        <v>33890.5</v>
      </c>
      <c r="G41" s="16">
        <f t="shared" si="1"/>
        <v>38730</v>
      </c>
      <c r="H41" s="16">
        <v>29705.32</v>
      </c>
      <c r="I41" s="16">
        <f t="shared" si="2"/>
        <v>57130</v>
      </c>
      <c r="J41" s="16">
        <f t="shared" si="3"/>
        <v>37130</v>
      </c>
      <c r="K41" s="16">
        <f t="shared" si="4"/>
        <v>39990</v>
      </c>
      <c r="L41" s="16">
        <f t="shared" si="9"/>
        <v>45700</v>
      </c>
      <c r="M41" s="16">
        <f t="shared" si="5"/>
        <v>48560</v>
      </c>
      <c r="N41" s="17">
        <f t="shared" si="6"/>
        <v>0.3499929978118162</v>
      </c>
      <c r="O41" s="17">
        <f t="shared" si="7"/>
        <v>0.48003990897952042</v>
      </c>
      <c r="P41">
        <f t="shared" si="8"/>
        <v>39990</v>
      </c>
    </row>
    <row r="42" spans="1:17" ht="16" x14ac:dyDescent="0.2">
      <c r="A42" t="s">
        <v>189</v>
      </c>
      <c r="B42" s="13" t="s">
        <v>59</v>
      </c>
      <c r="C42" s="1" t="s">
        <v>60</v>
      </c>
      <c r="D42">
        <v>85184000</v>
      </c>
      <c r="E42" s="6">
        <v>110975</v>
      </c>
      <c r="F42" s="6">
        <f t="shared" si="0"/>
        <v>77682.5</v>
      </c>
      <c r="G42" s="16">
        <f t="shared" si="1"/>
        <v>88780</v>
      </c>
      <c r="H42" s="16">
        <v>77918.94</v>
      </c>
      <c r="I42" s="16">
        <f t="shared" si="2"/>
        <v>130950</v>
      </c>
      <c r="J42" s="16">
        <f t="shared" si="3"/>
        <v>85120</v>
      </c>
      <c r="K42" s="16">
        <f t="shared" si="4"/>
        <v>91670</v>
      </c>
      <c r="L42" s="16">
        <f t="shared" si="9"/>
        <v>104760</v>
      </c>
      <c r="M42" s="16">
        <f t="shared" si="5"/>
        <v>111310</v>
      </c>
      <c r="N42" s="17">
        <f t="shared" si="6"/>
        <v>0.25621477663230241</v>
      </c>
      <c r="O42" s="17">
        <f t="shared" si="7"/>
        <v>0.40497182130584192</v>
      </c>
      <c r="P42">
        <f t="shared" si="8"/>
        <v>91670</v>
      </c>
    </row>
    <row r="43" spans="1:17" ht="17" thickBot="1" x14ac:dyDescent="0.25">
      <c r="A43" t="s">
        <v>189</v>
      </c>
      <c r="B43" s="14" t="s">
        <v>70</v>
      </c>
      <c r="C43" s="1" t="s">
        <v>71</v>
      </c>
      <c r="D43">
        <v>85184000</v>
      </c>
      <c r="E43" s="6">
        <v>15180</v>
      </c>
      <c r="F43" s="6">
        <f t="shared" si="0"/>
        <v>10626</v>
      </c>
      <c r="G43" s="16">
        <f t="shared" si="1"/>
        <v>12140</v>
      </c>
      <c r="H43" s="16">
        <v>9404.6</v>
      </c>
      <c r="I43" s="16">
        <f t="shared" si="2"/>
        <v>17910</v>
      </c>
      <c r="J43" s="16">
        <f t="shared" si="3"/>
        <v>11640</v>
      </c>
      <c r="K43" s="16">
        <f t="shared" si="4"/>
        <v>12540</v>
      </c>
      <c r="L43" s="16">
        <f t="shared" si="9"/>
        <v>14330</v>
      </c>
      <c r="M43" s="16">
        <f t="shared" si="5"/>
        <v>15220</v>
      </c>
      <c r="N43" s="17">
        <f t="shared" si="6"/>
        <v>0.34371249127704112</v>
      </c>
      <c r="O43" s="17">
        <f t="shared" si="7"/>
        <v>0.47489670575097709</v>
      </c>
      <c r="P43">
        <f t="shared" si="8"/>
        <v>12540</v>
      </c>
    </row>
    <row r="44" spans="1:17" ht="17" thickBot="1" x14ac:dyDescent="0.25">
      <c r="B44" s="10" t="s">
        <v>50</v>
      </c>
      <c r="C44" s="8"/>
      <c r="E44" s="6">
        <v>0</v>
      </c>
      <c r="F44" s="6">
        <f t="shared" si="0"/>
        <v>0</v>
      </c>
      <c r="G44" s="16">
        <f t="shared" si="1"/>
        <v>0</v>
      </c>
      <c r="H44" s="16">
        <v>0</v>
      </c>
      <c r="I44" s="16">
        <f t="shared" si="2"/>
        <v>0</v>
      </c>
      <c r="J44" s="16">
        <f t="shared" si="3"/>
        <v>0</v>
      </c>
      <c r="K44" s="16">
        <f t="shared" si="4"/>
        <v>0</v>
      </c>
      <c r="L44" s="16">
        <f t="shared" si="9"/>
        <v>0</v>
      </c>
      <c r="M44" s="16">
        <f t="shared" si="5"/>
        <v>0</v>
      </c>
      <c r="N44" s="17"/>
      <c r="O44" s="17"/>
      <c r="P44">
        <f t="shared" si="8"/>
        <v>0</v>
      </c>
    </row>
    <row r="45" spans="1:17" ht="16" x14ac:dyDescent="0.2">
      <c r="A45" t="s">
        <v>189</v>
      </c>
      <c r="B45" s="15" t="s">
        <v>51</v>
      </c>
      <c r="C45" s="1" t="s">
        <v>50</v>
      </c>
      <c r="D45" s="44"/>
      <c r="E45" s="6">
        <v>15525</v>
      </c>
      <c r="F45" s="6">
        <f t="shared" si="0"/>
        <v>10867.5</v>
      </c>
      <c r="G45" s="16">
        <f t="shared" si="1"/>
        <v>12420</v>
      </c>
      <c r="H45" s="16">
        <v>7788</v>
      </c>
      <c r="I45" s="16">
        <f t="shared" si="2"/>
        <v>18320</v>
      </c>
      <c r="J45" s="16">
        <f t="shared" si="3"/>
        <v>11910</v>
      </c>
      <c r="K45" s="16">
        <f t="shared" si="4"/>
        <v>12820</v>
      </c>
      <c r="L45" s="16">
        <f t="shared" si="9"/>
        <v>14660</v>
      </c>
      <c r="M45" s="16">
        <f t="shared" si="5"/>
        <v>15570</v>
      </c>
      <c r="N45" s="17">
        <f t="shared" si="6"/>
        <v>0.46875852660300138</v>
      </c>
      <c r="O45" s="17">
        <f t="shared" si="7"/>
        <v>0.57489082969432315</v>
      </c>
      <c r="P45">
        <f t="shared" si="8"/>
        <v>12820</v>
      </c>
    </row>
    <row r="46" spans="1:17" ht="16" thickBot="1" x14ac:dyDescent="0.25">
      <c r="B46" s="9"/>
      <c r="C46" s="1"/>
      <c r="D46" s="43"/>
      <c r="E46" s="6"/>
      <c r="F46" s="6">
        <f t="shared" si="0"/>
        <v>0</v>
      </c>
      <c r="G46" s="16">
        <f t="shared" si="1"/>
        <v>0</v>
      </c>
      <c r="H46" s="16">
        <v>0</v>
      </c>
      <c r="I46" s="16">
        <f t="shared" si="2"/>
        <v>0</v>
      </c>
      <c r="J46" s="16">
        <f t="shared" si="3"/>
        <v>0</v>
      </c>
      <c r="K46" s="16">
        <f t="shared" si="4"/>
        <v>0</v>
      </c>
      <c r="L46" s="16">
        <f t="shared" si="9"/>
        <v>0</v>
      </c>
      <c r="M46" s="16">
        <f t="shared" si="5"/>
        <v>0</v>
      </c>
      <c r="N46" s="17"/>
      <c r="O46" s="17"/>
      <c r="P46">
        <f t="shared" si="8"/>
        <v>0</v>
      </c>
    </row>
    <row r="47" spans="1:17" ht="17" thickBot="1" x14ac:dyDescent="0.25">
      <c r="B47" s="10" t="s">
        <v>64</v>
      </c>
      <c r="C47" s="8"/>
      <c r="D47" s="43"/>
      <c r="E47" s="6"/>
      <c r="F47" s="6">
        <f t="shared" si="0"/>
        <v>0</v>
      </c>
      <c r="G47" s="16">
        <f t="shared" si="1"/>
        <v>0</v>
      </c>
      <c r="H47" s="16">
        <v>0</v>
      </c>
      <c r="I47" s="16">
        <f t="shared" si="2"/>
        <v>0</v>
      </c>
      <c r="J47" s="16">
        <f t="shared" si="3"/>
        <v>0</v>
      </c>
      <c r="K47" s="16">
        <f t="shared" si="4"/>
        <v>0</v>
      </c>
      <c r="L47" s="16">
        <f t="shared" si="9"/>
        <v>0</v>
      </c>
      <c r="M47" s="16">
        <f t="shared" si="5"/>
        <v>0</v>
      </c>
      <c r="N47" s="17"/>
      <c r="O47" s="17"/>
      <c r="P47">
        <f t="shared" si="8"/>
        <v>0</v>
      </c>
    </row>
    <row r="48" spans="1:17" ht="32" x14ac:dyDescent="0.2">
      <c r="A48" t="s">
        <v>189</v>
      </c>
      <c r="B48" s="15" t="s">
        <v>65</v>
      </c>
      <c r="C48" s="1" t="s">
        <v>90</v>
      </c>
      <c r="D48" s="44"/>
      <c r="E48" s="6">
        <v>17500</v>
      </c>
      <c r="F48" s="6">
        <f t="shared" si="0"/>
        <v>12250</v>
      </c>
      <c r="G48" s="16">
        <f t="shared" si="1"/>
        <v>14000</v>
      </c>
      <c r="H48" s="16">
        <v>11617.099999999999</v>
      </c>
      <c r="I48" s="16">
        <f t="shared" si="2"/>
        <v>20650</v>
      </c>
      <c r="J48" s="16">
        <f t="shared" si="3"/>
        <v>13420</v>
      </c>
      <c r="K48" s="16">
        <f t="shared" si="4"/>
        <v>14460</v>
      </c>
      <c r="L48" s="16">
        <f t="shared" si="9"/>
        <v>16520</v>
      </c>
      <c r="M48" s="16">
        <f t="shared" si="5"/>
        <v>17550</v>
      </c>
      <c r="N48" s="17">
        <f t="shared" si="6"/>
        <v>0.29678571428571437</v>
      </c>
      <c r="O48" s="17">
        <f t="shared" si="7"/>
        <v>0.4374285714285715</v>
      </c>
      <c r="P48">
        <f t="shared" si="8"/>
        <v>14460</v>
      </c>
    </row>
    <row r="49" spans="1:16" ht="16" x14ac:dyDescent="0.2">
      <c r="A49" t="s">
        <v>189</v>
      </c>
      <c r="B49" s="37" t="s">
        <v>171</v>
      </c>
      <c r="C49" s="1" t="s">
        <v>177</v>
      </c>
      <c r="D49" s="43"/>
      <c r="E49" s="6">
        <v>8000</v>
      </c>
      <c r="F49" s="6">
        <f t="shared" si="0"/>
        <v>5600</v>
      </c>
      <c r="G49" s="16">
        <f t="shared" si="1"/>
        <v>6400</v>
      </c>
      <c r="H49" s="16">
        <v>4673</v>
      </c>
      <c r="I49" s="16">
        <f t="shared" si="2"/>
        <v>9440</v>
      </c>
      <c r="J49" s="16">
        <f t="shared" si="3"/>
        <v>6140</v>
      </c>
      <c r="K49" s="16">
        <f t="shared" si="4"/>
        <v>6610</v>
      </c>
      <c r="L49" s="16">
        <f t="shared" si="9"/>
        <v>7550</v>
      </c>
      <c r="M49" s="16">
        <f t="shared" si="5"/>
        <v>8020</v>
      </c>
      <c r="N49" s="17"/>
      <c r="O49" s="17"/>
      <c r="P49">
        <f t="shared" si="8"/>
        <v>6610</v>
      </c>
    </row>
    <row r="50" spans="1:16" ht="16" thickBot="1" x14ac:dyDescent="0.25">
      <c r="B50" s="11"/>
      <c r="C50" s="2"/>
      <c r="D50" s="43"/>
      <c r="E50" s="6"/>
      <c r="F50" s="6">
        <f t="shared" si="0"/>
        <v>0</v>
      </c>
      <c r="G50" s="16">
        <f t="shared" si="1"/>
        <v>0</v>
      </c>
      <c r="H50" s="16">
        <v>0</v>
      </c>
      <c r="I50" s="16">
        <f t="shared" si="2"/>
        <v>0</v>
      </c>
      <c r="J50" s="16">
        <f t="shared" si="3"/>
        <v>0</v>
      </c>
      <c r="K50" s="16">
        <f t="shared" si="4"/>
        <v>0</v>
      </c>
      <c r="L50" s="16">
        <f t="shared" si="9"/>
        <v>0</v>
      </c>
      <c r="M50" s="16">
        <f t="shared" si="5"/>
        <v>0</v>
      </c>
      <c r="N50" s="17"/>
      <c r="O50" s="17"/>
      <c r="P50">
        <f t="shared" si="8"/>
        <v>0</v>
      </c>
    </row>
    <row r="51" spans="1:16" ht="16" thickBot="1" x14ac:dyDescent="0.25">
      <c r="B51" s="21" t="s">
        <v>77</v>
      </c>
      <c r="C51" s="22"/>
      <c r="D51" s="45"/>
      <c r="E51" s="7"/>
      <c r="F51" s="6">
        <f t="shared" si="0"/>
        <v>0</v>
      </c>
      <c r="G51" s="16">
        <f t="shared" si="1"/>
        <v>0</v>
      </c>
      <c r="H51" s="16">
        <v>0</v>
      </c>
      <c r="I51" s="16">
        <f t="shared" si="2"/>
        <v>0</v>
      </c>
      <c r="J51" s="16">
        <f t="shared" si="3"/>
        <v>0</v>
      </c>
      <c r="K51" s="16">
        <f t="shared" si="4"/>
        <v>0</v>
      </c>
      <c r="L51" s="16">
        <f t="shared" si="9"/>
        <v>0</v>
      </c>
      <c r="M51" s="16">
        <f t="shared" si="5"/>
        <v>0</v>
      </c>
      <c r="N51" s="17"/>
      <c r="O51" s="17"/>
      <c r="P51">
        <f t="shared" si="8"/>
        <v>0</v>
      </c>
    </row>
    <row r="52" spans="1:16" x14ac:dyDescent="0.2">
      <c r="B52" s="31" t="s">
        <v>78</v>
      </c>
      <c r="C52" s="22" t="s">
        <v>91</v>
      </c>
      <c r="D52" s="46"/>
      <c r="E52" s="32">
        <v>14960</v>
      </c>
      <c r="F52" s="6">
        <f t="shared" si="0"/>
        <v>10472</v>
      </c>
      <c r="G52" s="25">
        <f t="shared" si="1"/>
        <v>11970</v>
      </c>
      <c r="H52" s="25">
        <v>8826.4</v>
      </c>
      <c r="I52" s="16">
        <f t="shared" si="2"/>
        <v>17650</v>
      </c>
      <c r="J52" s="16">
        <f t="shared" si="3"/>
        <v>11470</v>
      </c>
      <c r="K52" s="25">
        <f t="shared" si="4"/>
        <v>12360</v>
      </c>
      <c r="L52" s="25">
        <f t="shared" si="9"/>
        <v>14120</v>
      </c>
      <c r="M52" s="16">
        <f t="shared" si="5"/>
        <v>15000</v>
      </c>
      <c r="N52" s="17">
        <f t="shared" si="6"/>
        <v>0.37490084985835698</v>
      </c>
      <c r="O52" s="17">
        <f t="shared" si="7"/>
        <v>0.49992067988668559</v>
      </c>
      <c r="P52">
        <f t="shared" si="8"/>
        <v>12360</v>
      </c>
    </row>
    <row r="53" spans="1:16" x14ac:dyDescent="0.2">
      <c r="B53" s="2"/>
      <c r="C53" s="2"/>
      <c r="D53" s="46"/>
      <c r="E53" s="32">
        <f>C53-(C53*0.3)</f>
        <v>0</v>
      </c>
      <c r="F53" s="6">
        <f t="shared" si="0"/>
        <v>0</v>
      </c>
      <c r="G53" s="25">
        <f t="shared" si="1"/>
        <v>0</v>
      </c>
      <c r="H53" s="25">
        <v>0</v>
      </c>
      <c r="I53" s="16">
        <f t="shared" si="2"/>
        <v>0</v>
      </c>
      <c r="J53" s="16">
        <f t="shared" si="3"/>
        <v>0</v>
      </c>
      <c r="K53" s="25">
        <f t="shared" si="4"/>
        <v>0</v>
      </c>
      <c r="L53" s="25">
        <f t="shared" si="9"/>
        <v>0</v>
      </c>
      <c r="M53" s="16">
        <f t="shared" si="5"/>
        <v>0</v>
      </c>
      <c r="N53" s="17"/>
      <c r="O53" s="17"/>
      <c r="P53">
        <f t="shared" si="8"/>
        <v>0</v>
      </c>
    </row>
    <row r="54" spans="1:16" x14ac:dyDescent="0.2">
      <c r="B54" s="33" t="s">
        <v>100</v>
      </c>
      <c r="C54" s="2"/>
      <c r="D54" s="46"/>
      <c r="E54" s="32">
        <f>C54-(C54*0.3)</f>
        <v>0</v>
      </c>
      <c r="F54" s="6">
        <f t="shared" si="0"/>
        <v>0</v>
      </c>
      <c r="G54" s="25">
        <f t="shared" si="1"/>
        <v>0</v>
      </c>
      <c r="H54" s="25">
        <v>0</v>
      </c>
      <c r="I54" s="16">
        <f t="shared" si="2"/>
        <v>0</v>
      </c>
      <c r="J54" s="16">
        <f t="shared" si="3"/>
        <v>0</v>
      </c>
      <c r="K54" s="25">
        <f t="shared" si="4"/>
        <v>0</v>
      </c>
      <c r="L54" s="25">
        <f t="shared" si="9"/>
        <v>0</v>
      </c>
      <c r="M54" s="16">
        <f t="shared" si="5"/>
        <v>0</v>
      </c>
      <c r="N54" s="17"/>
      <c r="O54" s="17"/>
      <c r="P54">
        <f t="shared" si="8"/>
        <v>0</v>
      </c>
    </row>
    <row r="55" spans="1:16" x14ac:dyDescent="0.2">
      <c r="B55" s="29" t="s">
        <v>101</v>
      </c>
      <c r="C55" s="2"/>
      <c r="D55" s="46"/>
      <c r="E55" s="6"/>
      <c r="F55" s="6">
        <f t="shared" si="0"/>
        <v>0</v>
      </c>
      <c r="G55" s="25">
        <f t="shared" si="1"/>
        <v>0</v>
      </c>
      <c r="H55" s="25"/>
      <c r="I55" s="16">
        <f t="shared" si="2"/>
        <v>0</v>
      </c>
      <c r="J55" s="16">
        <f t="shared" si="3"/>
        <v>0</v>
      </c>
      <c r="K55" s="25">
        <f t="shared" si="4"/>
        <v>0</v>
      </c>
      <c r="L55" s="25">
        <f t="shared" si="9"/>
        <v>0</v>
      </c>
      <c r="M55" s="16">
        <f t="shared" si="5"/>
        <v>0</v>
      </c>
      <c r="N55" s="17"/>
      <c r="O55" s="17"/>
      <c r="P55">
        <f t="shared" si="8"/>
        <v>0</v>
      </c>
    </row>
    <row r="56" spans="1:16" x14ac:dyDescent="0.2">
      <c r="A56" t="s">
        <v>189</v>
      </c>
      <c r="B56" s="2" t="s">
        <v>102</v>
      </c>
      <c r="C56" s="2" t="s">
        <v>103</v>
      </c>
      <c r="D56" s="45"/>
      <c r="E56" s="32">
        <v>31246</v>
      </c>
      <c r="F56" s="6">
        <f t="shared" si="0"/>
        <v>21872.199999999997</v>
      </c>
      <c r="G56" s="25">
        <f t="shared" si="1"/>
        <v>25000</v>
      </c>
      <c r="H56" s="25">
        <v>18859.939999999999</v>
      </c>
      <c r="I56" s="16">
        <f t="shared" si="2"/>
        <v>36870</v>
      </c>
      <c r="J56" s="16">
        <f t="shared" si="3"/>
        <v>23970</v>
      </c>
      <c r="K56" s="25">
        <f t="shared" si="4"/>
        <v>25810</v>
      </c>
      <c r="L56" s="25">
        <f t="shared" si="9"/>
        <v>29500</v>
      </c>
      <c r="M56" s="16">
        <f t="shared" si="5"/>
        <v>31340</v>
      </c>
      <c r="N56" s="17">
        <f t="shared" si="6"/>
        <v>0.36068000000000006</v>
      </c>
      <c r="O56" s="17">
        <f t="shared" si="7"/>
        <v>0.4884746406292379</v>
      </c>
      <c r="P56">
        <f t="shared" si="8"/>
        <v>25810</v>
      </c>
    </row>
    <row r="57" spans="1:16" x14ac:dyDescent="0.2">
      <c r="A57" t="s">
        <v>189</v>
      </c>
      <c r="B57" s="2" t="s">
        <v>104</v>
      </c>
      <c r="C57" s="2" t="s">
        <v>105</v>
      </c>
      <c r="D57" s="46"/>
      <c r="E57" s="32">
        <v>44873</v>
      </c>
      <c r="F57" s="6">
        <f t="shared" si="0"/>
        <v>31411.1</v>
      </c>
      <c r="G57" s="25">
        <f t="shared" si="1"/>
        <v>35900</v>
      </c>
      <c r="H57" s="25">
        <v>27090.44</v>
      </c>
      <c r="I57" s="16">
        <f t="shared" si="2"/>
        <v>52950</v>
      </c>
      <c r="J57" s="16">
        <f t="shared" si="3"/>
        <v>34420</v>
      </c>
      <c r="K57" s="25">
        <f t="shared" si="4"/>
        <v>37070</v>
      </c>
      <c r="L57" s="25">
        <f t="shared" si="9"/>
        <v>42360</v>
      </c>
      <c r="M57" s="16">
        <f t="shared" si="5"/>
        <v>45010</v>
      </c>
      <c r="N57" s="17">
        <f t="shared" si="6"/>
        <v>0.36047119924457038</v>
      </c>
      <c r="O57" s="17">
        <f t="shared" si="7"/>
        <v>0.48837695939565628</v>
      </c>
      <c r="P57">
        <f t="shared" si="8"/>
        <v>37070</v>
      </c>
    </row>
    <row r="58" spans="1:16" x14ac:dyDescent="0.2">
      <c r="B58" s="29" t="s">
        <v>106</v>
      </c>
      <c r="C58" s="2"/>
      <c r="D58" s="46"/>
      <c r="E58" s="32">
        <v>0</v>
      </c>
      <c r="F58" s="6">
        <f t="shared" si="0"/>
        <v>0</v>
      </c>
      <c r="G58" s="25">
        <f t="shared" si="1"/>
        <v>0</v>
      </c>
      <c r="H58" s="25">
        <v>0</v>
      </c>
      <c r="I58" s="16">
        <f t="shared" si="2"/>
        <v>0</v>
      </c>
      <c r="J58" s="16">
        <f t="shared" si="3"/>
        <v>0</v>
      </c>
      <c r="K58" s="25">
        <f t="shared" si="4"/>
        <v>0</v>
      </c>
      <c r="L58" s="25">
        <f t="shared" si="9"/>
        <v>0</v>
      </c>
      <c r="M58" s="16">
        <f t="shared" si="5"/>
        <v>0</v>
      </c>
      <c r="N58" s="17"/>
      <c r="O58" s="17"/>
      <c r="P58">
        <f t="shared" si="8"/>
        <v>0</v>
      </c>
    </row>
    <row r="59" spans="1:16" x14ac:dyDescent="0.2">
      <c r="A59" t="s">
        <v>189</v>
      </c>
      <c r="B59" s="34" t="s">
        <v>107</v>
      </c>
      <c r="C59" s="2" t="s">
        <v>108</v>
      </c>
      <c r="D59" s="46"/>
      <c r="E59" s="32">
        <v>35360</v>
      </c>
      <c r="F59" s="6">
        <f t="shared" si="0"/>
        <v>24752</v>
      </c>
      <c r="G59" s="25">
        <f t="shared" si="1"/>
        <v>28290</v>
      </c>
      <c r="H59" s="25">
        <v>21345.61</v>
      </c>
      <c r="I59" s="16">
        <f t="shared" si="2"/>
        <v>41720</v>
      </c>
      <c r="J59" s="16">
        <f t="shared" si="3"/>
        <v>27120</v>
      </c>
      <c r="K59" s="25">
        <f t="shared" si="4"/>
        <v>29200</v>
      </c>
      <c r="L59" s="25">
        <f t="shared" si="9"/>
        <v>33380</v>
      </c>
      <c r="M59" s="16">
        <f t="shared" si="5"/>
        <v>35460</v>
      </c>
      <c r="N59" s="17">
        <f t="shared" si="6"/>
        <v>0.36052696225284597</v>
      </c>
      <c r="O59" s="17">
        <f t="shared" si="7"/>
        <v>0.48836025886864809</v>
      </c>
      <c r="P59">
        <f t="shared" si="8"/>
        <v>29210</v>
      </c>
    </row>
    <row r="60" spans="1:16" x14ac:dyDescent="0.2">
      <c r="A60" t="s">
        <v>189</v>
      </c>
      <c r="B60" s="2" t="s">
        <v>109</v>
      </c>
      <c r="C60" s="2" t="s">
        <v>110</v>
      </c>
      <c r="D60" s="46"/>
      <c r="E60" s="32">
        <v>50730</v>
      </c>
      <c r="F60" s="6">
        <f t="shared" si="0"/>
        <v>35511</v>
      </c>
      <c r="G60" s="25">
        <f t="shared" si="1"/>
        <v>40580</v>
      </c>
      <c r="H60" s="25">
        <v>30626.31</v>
      </c>
      <c r="I60" s="16">
        <f t="shared" si="2"/>
        <v>59860</v>
      </c>
      <c r="J60" s="16">
        <f t="shared" si="3"/>
        <v>38910</v>
      </c>
      <c r="K60" s="25">
        <f t="shared" si="4"/>
        <v>41900</v>
      </c>
      <c r="L60" s="25">
        <f t="shared" si="9"/>
        <v>47890</v>
      </c>
      <c r="M60" s="16">
        <f t="shared" si="5"/>
        <v>50880</v>
      </c>
      <c r="N60" s="17">
        <f t="shared" si="6"/>
        <v>0.36048632282313631</v>
      </c>
      <c r="O60" s="17">
        <f t="shared" si="7"/>
        <v>0.48836769127965252</v>
      </c>
      <c r="P60">
        <f t="shared" si="8"/>
        <v>41900</v>
      </c>
    </row>
    <row r="61" spans="1:16" x14ac:dyDescent="0.2">
      <c r="A61" t="s">
        <v>189</v>
      </c>
      <c r="B61" s="2" t="s">
        <v>111</v>
      </c>
      <c r="C61" s="2" t="s">
        <v>112</v>
      </c>
      <c r="D61" s="46"/>
      <c r="E61" s="32">
        <v>62140</v>
      </c>
      <c r="F61" s="6">
        <f t="shared" si="0"/>
        <v>43498</v>
      </c>
      <c r="G61" s="25">
        <f t="shared" si="1"/>
        <v>49710</v>
      </c>
      <c r="H61" s="25">
        <v>37512.200000000004</v>
      </c>
      <c r="I61" s="16">
        <f t="shared" si="2"/>
        <v>73330</v>
      </c>
      <c r="J61" s="16">
        <f t="shared" si="3"/>
        <v>47660</v>
      </c>
      <c r="K61" s="25">
        <f t="shared" si="4"/>
        <v>51330</v>
      </c>
      <c r="L61" s="25">
        <f t="shared" si="9"/>
        <v>58660</v>
      </c>
      <c r="M61" s="16">
        <f t="shared" si="5"/>
        <v>62330</v>
      </c>
      <c r="N61" s="17">
        <f t="shared" si="6"/>
        <v>0.36051483123082162</v>
      </c>
      <c r="O61" s="17">
        <f t="shared" si="7"/>
        <v>0.48844674757943535</v>
      </c>
      <c r="P61">
        <f t="shared" si="8"/>
        <v>51330</v>
      </c>
    </row>
    <row r="62" spans="1:16" x14ac:dyDescent="0.2">
      <c r="A62" t="s">
        <v>189</v>
      </c>
      <c r="B62" s="2" t="s">
        <v>113</v>
      </c>
      <c r="C62" s="2" t="s">
        <v>114</v>
      </c>
      <c r="D62" s="46"/>
      <c r="E62" s="32">
        <v>69180</v>
      </c>
      <c r="F62" s="6">
        <f t="shared" si="0"/>
        <v>48426</v>
      </c>
      <c r="G62" s="25">
        <f t="shared" si="1"/>
        <v>55340</v>
      </c>
      <c r="H62" s="25">
        <v>41763.149999999994</v>
      </c>
      <c r="I62" s="16">
        <f t="shared" si="2"/>
        <v>81630</v>
      </c>
      <c r="J62" s="16">
        <f t="shared" si="3"/>
        <v>53060</v>
      </c>
      <c r="K62" s="25">
        <f t="shared" si="4"/>
        <v>57140</v>
      </c>
      <c r="L62" s="25">
        <f t="shared" si="9"/>
        <v>65300</v>
      </c>
      <c r="M62" s="16">
        <f t="shared" si="5"/>
        <v>69390</v>
      </c>
      <c r="N62" s="17">
        <f t="shared" si="6"/>
        <v>0.36044180704441048</v>
      </c>
      <c r="O62" s="17">
        <f t="shared" si="7"/>
        <v>0.48838478500551274</v>
      </c>
      <c r="P62">
        <f t="shared" si="8"/>
        <v>57140</v>
      </c>
    </row>
    <row r="63" spans="1:16" x14ac:dyDescent="0.2">
      <c r="A63" t="s">
        <v>189</v>
      </c>
      <c r="B63" s="2" t="s">
        <v>115</v>
      </c>
      <c r="C63" s="2" t="s">
        <v>116</v>
      </c>
      <c r="D63" s="46"/>
      <c r="E63" s="32">
        <v>122980</v>
      </c>
      <c r="F63" s="6">
        <f t="shared" si="0"/>
        <v>86086</v>
      </c>
      <c r="G63" s="25">
        <f t="shared" si="1"/>
        <v>98380</v>
      </c>
      <c r="H63" s="25">
        <v>74245.600000000006</v>
      </c>
      <c r="I63" s="16">
        <f t="shared" si="2"/>
        <v>145120</v>
      </c>
      <c r="J63" s="16">
        <f t="shared" si="3"/>
        <v>94330</v>
      </c>
      <c r="K63" s="25">
        <f t="shared" si="4"/>
        <v>101580</v>
      </c>
      <c r="L63" s="25">
        <f t="shared" si="9"/>
        <v>116100</v>
      </c>
      <c r="M63" s="16">
        <f t="shared" si="5"/>
        <v>123350</v>
      </c>
      <c r="N63" s="17">
        <f t="shared" si="6"/>
        <v>0.36050301464254947</v>
      </c>
      <c r="O63" s="17">
        <f t="shared" si="7"/>
        <v>0.48838478500551263</v>
      </c>
      <c r="P63">
        <f t="shared" si="8"/>
        <v>101580</v>
      </c>
    </row>
    <row r="64" spans="1:16" x14ac:dyDescent="0.2">
      <c r="B64" s="29" t="s">
        <v>117</v>
      </c>
      <c r="C64" s="2"/>
      <c r="D64" s="46"/>
      <c r="E64" s="32">
        <v>0</v>
      </c>
      <c r="F64" s="6">
        <f t="shared" si="0"/>
        <v>0</v>
      </c>
      <c r="G64" s="25">
        <f t="shared" si="1"/>
        <v>0</v>
      </c>
      <c r="H64" s="25">
        <v>0</v>
      </c>
      <c r="I64" s="16">
        <f t="shared" si="2"/>
        <v>0</v>
      </c>
      <c r="J64" s="16">
        <f t="shared" si="3"/>
        <v>0</v>
      </c>
      <c r="K64" s="25">
        <f t="shared" si="4"/>
        <v>0</v>
      </c>
      <c r="L64" s="25">
        <f t="shared" si="9"/>
        <v>0</v>
      </c>
      <c r="M64" s="16">
        <f t="shared" si="5"/>
        <v>0</v>
      </c>
      <c r="N64" s="17"/>
      <c r="O64" s="17"/>
      <c r="P64">
        <f t="shared" si="8"/>
        <v>0</v>
      </c>
    </row>
    <row r="65" spans="1:16" x14ac:dyDescent="0.2">
      <c r="A65" t="s">
        <v>189</v>
      </c>
      <c r="B65" s="2" t="s">
        <v>118</v>
      </c>
      <c r="C65" s="2" t="s">
        <v>108</v>
      </c>
      <c r="D65" s="46"/>
      <c r="E65" s="32">
        <v>57380</v>
      </c>
      <c r="F65" s="6">
        <f t="shared" si="0"/>
        <v>40166</v>
      </c>
      <c r="G65" s="25">
        <f t="shared" si="1"/>
        <v>45900</v>
      </c>
      <c r="H65" s="25">
        <v>34643.620000000003</v>
      </c>
      <c r="I65" s="16">
        <f t="shared" si="2"/>
        <v>67710</v>
      </c>
      <c r="J65" s="16">
        <f t="shared" si="3"/>
        <v>44010</v>
      </c>
      <c r="K65" s="25">
        <f t="shared" si="4"/>
        <v>47400</v>
      </c>
      <c r="L65" s="25">
        <f t="shared" si="9"/>
        <v>54170</v>
      </c>
      <c r="M65" s="16">
        <f t="shared" si="5"/>
        <v>57550</v>
      </c>
      <c r="N65" s="17">
        <f t="shared" si="6"/>
        <v>0.3604648329333579</v>
      </c>
      <c r="O65" s="17">
        <f t="shared" si="7"/>
        <v>0.48835297592674637</v>
      </c>
      <c r="P65">
        <f t="shared" si="8"/>
        <v>47400</v>
      </c>
    </row>
    <row r="66" spans="1:16" x14ac:dyDescent="0.2">
      <c r="A66" t="s">
        <v>189</v>
      </c>
      <c r="B66" s="2" t="s">
        <v>119</v>
      </c>
      <c r="C66" s="2" t="s">
        <v>120</v>
      </c>
      <c r="D66" s="46"/>
      <c r="E66" s="32">
        <v>76760</v>
      </c>
      <c r="F66" s="6">
        <f t="shared" si="0"/>
        <v>53732</v>
      </c>
      <c r="G66" s="25">
        <f t="shared" si="1"/>
        <v>61410</v>
      </c>
      <c r="H66" s="25">
        <v>46338.6</v>
      </c>
      <c r="I66" s="16">
        <f t="shared" si="2"/>
        <v>90580</v>
      </c>
      <c r="J66" s="16">
        <f t="shared" si="3"/>
        <v>58880</v>
      </c>
      <c r="K66" s="25">
        <f t="shared" si="4"/>
        <v>63410</v>
      </c>
      <c r="L66" s="25">
        <f t="shared" si="9"/>
        <v>72460</v>
      </c>
      <c r="M66" s="16">
        <f t="shared" si="5"/>
        <v>76990</v>
      </c>
      <c r="N66" s="17">
        <f t="shared" si="6"/>
        <v>0.36049406569141595</v>
      </c>
      <c r="O66" s="17">
        <f t="shared" si="7"/>
        <v>0.4884234930448223</v>
      </c>
      <c r="P66">
        <f t="shared" si="8"/>
        <v>63400</v>
      </c>
    </row>
    <row r="67" spans="1:16" x14ac:dyDescent="0.2">
      <c r="A67" t="s">
        <v>189</v>
      </c>
      <c r="B67" s="2" t="s">
        <v>121</v>
      </c>
      <c r="C67" s="2" t="s">
        <v>122</v>
      </c>
      <c r="D67" s="46"/>
      <c r="E67" s="32">
        <v>98870</v>
      </c>
      <c r="F67" s="6">
        <f t="shared" si="0"/>
        <v>69209</v>
      </c>
      <c r="G67" s="25">
        <f t="shared" si="1"/>
        <v>79100</v>
      </c>
      <c r="H67" s="25">
        <v>59688.530000000006</v>
      </c>
      <c r="I67" s="16">
        <f t="shared" si="2"/>
        <v>116670</v>
      </c>
      <c r="J67" s="16">
        <f t="shared" si="3"/>
        <v>75840</v>
      </c>
      <c r="K67" s="25">
        <f t="shared" si="4"/>
        <v>81670</v>
      </c>
      <c r="L67" s="25">
        <f t="shared" si="9"/>
        <v>93340</v>
      </c>
      <c r="M67" s="16">
        <f t="shared" si="5"/>
        <v>99170</v>
      </c>
      <c r="N67" s="17">
        <f t="shared" si="6"/>
        <v>0.36052571244911069</v>
      </c>
      <c r="O67" s="17">
        <f t="shared" si="7"/>
        <v>0.48839864575297842</v>
      </c>
      <c r="P67">
        <f t="shared" si="8"/>
        <v>81670</v>
      </c>
    </row>
    <row r="68" spans="1:16" x14ac:dyDescent="0.2">
      <c r="A68" t="s">
        <v>189</v>
      </c>
      <c r="B68" s="2" t="s">
        <v>123</v>
      </c>
      <c r="C68" s="2" t="s">
        <v>124</v>
      </c>
      <c r="D68" s="46"/>
      <c r="E68" s="32">
        <v>91380</v>
      </c>
      <c r="F68" s="6">
        <f t="shared" si="0"/>
        <v>63965.999999999993</v>
      </c>
      <c r="G68" s="25">
        <f t="shared" si="1"/>
        <v>73100</v>
      </c>
      <c r="H68" s="25">
        <v>55165.000000000007</v>
      </c>
      <c r="I68" s="16">
        <f t="shared" si="2"/>
        <v>107830</v>
      </c>
      <c r="J68" s="16">
        <f t="shared" si="3"/>
        <v>70090</v>
      </c>
      <c r="K68" s="25">
        <f t="shared" si="4"/>
        <v>75480</v>
      </c>
      <c r="L68" s="25">
        <f t="shared" si="9"/>
        <v>86260</v>
      </c>
      <c r="M68" s="16">
        <f t="shared" si="5"/>
        <v>91660</v>
      </c>
      <c r="N68" s="17">
        <f t="shared" si="6"/>
        <v>0.36047994435427766</v>
      </c>
      <c r="O68" s="17">
        <f t="shared" si="7"/>
        <v>0.48840767875359353</v>
      </c>
      <c r="P68">
        <f t="shared" si="8"/>
        <v>75480</v>
      </c>
    </row>
    <row r="69" spans="1:16" x14ac:dyDescent="0.2">
      <c r="A69" t="s">
        <v>189</v>
      </c>
      <c r="B69" s="2" t="s">
        <v>125</v>
      </c>
      <c r="C69" s="2" t="s">
        <v>126</v>
      </c>
      <c r="D69" s="46"/>
      <c r="E69" s="32">
        <v>164480</v>
      </c>
      <c r="F69" s="6">
        <f t="shared" si="0"/>
        <v>115135.99999999999</v>
      </c>
      <c r="G69" s="25">
        <f t="shared" si="1"/>
        <v>131580</v>
      </c>
      <c r="H69" s="25">
        <v>99297</v>
      </c>
      <c r="I69" s="16">
        <f t="shared" si="2"/>
        <v>194090</v>
      </c>
      <c r="J69" s="16">
        <f t="shared" si="3"/>
        <v>126160</v>
      </c>
      <c r="K69" s="25">
        <f t="shared" si="4"/>
        <v>135860</v>
      </c>
      <c r="L69" s="25">
        <f t="shared" si="9"/>
        <v>155270</v>
      </c>
      <c r="M69" s="16">
        <f t="shared" si="5"/>
        <v>164980</v>
      </c>
      <c r="N69" s="17">
        <f t="shared" si="6"/>
        <v>0.36048818187673087</v>
      </c>
      <c r="O69" s="17">
        <f t="shared" si="7"/>
        <v>0.48839713534958007</v>
      </c>
      <c r="P69">
        <f t="shared" si="8"/>
        <v>135860</v>
      </c>
    </row>
    <row r="70" spans="1:16" x14ac:dyDescent="0.2">
      <c r="B70" s="30" t="s">
        <v>127</v>
      </c>
      <c r="C70" s="23"/>
      <c r="D70" s="46"/>
      <c r="E70" s="32">
        <v>0</v>
      </c>
      <c r="F70" s="6">
        <f t="shared" si="0"/>
        <v>0</v>
      </c>
      <c r="G70" s="25">
        <f t="shared" ref="G70:G91" si="10">ROUND((E70*0.8),-1)</f>
        <v>0</v>
      </c>
      <c r="H70" s="25">
        <v>0</v>
      </c>
      <c r="I70" s="16">
        <f t="shared" si="2"/>
        <v>0</v>
      </c>
      <c r="J70" s="16">
        <f t="shared" ref="J70:J91" si="11">ROUND(I70*0.65,-1)</f>
        <v>0</v>
      </c>
      <c r="K70" s="25">
        <f t="shared" ref="K70:K91" si="12">ROUND(I70*0.7,-1)</f>
        <v>0</v>
      </c>
      <c r="L70" s="25">
        <f t="shared" si="9"/>
        <v>0</v>
      </c>
      <c r="M70" s="16">
        <f t="shared" ref="M70:M91" si="13">ROUND(I70*0.85,-1)</f>
        <v>0</v>
      </c>
      <c r="N70" s="17"/>
      <c r="O70" s="17"/>
      <c r="P70">
        <f t="shared" si="8"/>
        <v>0</v>
      </c>
    </row>
    <row r="71" spans="1:16" x14ac:dyDescent="0.2">
      <c r="A71" t="s">
        <v>189</v>
      </c>
      <c r="B71" s="2" t="s">
        <v>128</v>
      </c>
      <c r="C71" s="2" t="s">
        <v>56</v>
      </c>
      <c r="D71" s="47"/>
      <c r="E71" s="32">
        <v>26807</v>
      </c>
      <c r="F71" s="6">
        <f t="shared" ref="F71:F91" si="14">E71*0.7</f>
        <v>18764.899999999998</v>
      </c>
      <c r="G71" s="25">
        <f t="shared" si="10"/>
        <v>21450</v>
      </c>
      <c r="H71" s="25">
        <v>16183.699999999999</v>
      </c>
      <c r="I71" s="16">
        <f t="shared" ref="I71:I91" si="15">ROUND(E71*1.18,-1)</f>
        <v>31630</v>
      </c>
      <c r="J71" s="16">
        <f t="shared" si="11"/>
        <v>20560</v>
      </c>
      <c r="K71" s="25">
        <f t="shared" si="12"/>
        <v>22140</v>
      </c>
      <c r="L71" s="25">
        <f t="shared" si="9"/>
        <v>25300</v>
      </c>
      <c r="M71" s="16">
        <f t="shared" si="13"/>
        <v>26890</v>
      </c>
      <c r="N71" s="17">
        <f t="shared" ref="N71:N91" si="16">((L71-H71)/L71)</f>
        <v>0.36032806324110678</v>
      </c>
      <c r="O71" s="17">
        <f t="shared" ref="O71:O91" si="17">((I71-H71)/I71)</f>
        <v>0.48834334492570347</v>
      </c>
      <c r="P71">
        <f t="shared" ref="P71:P91" si="18">ROUND(E71*0.826,-1)</f>
        <v>22140</v>
      </c>
    </row>
    <row r="72" spans="1:16" x14ac:dyDescent="0.2">
      <c r="A72" t="s">
        <v>189</v>
      </c>
      <c r="B72" s="2" t="s">
        <v>129</v>
      </c>
      <c r="C72" s="2" t="s">
        <v>57</v>
      </c>
      <c r="D72" s="46"/>
      <c r="E72" s="32">
        <v>35524</v>
      </c>
      <c r="F72" s="6">
        <f t="shared" si="14"/>
        <v>24866.799999999999</v>
      </c>
      <c r="G72" s="25">
        <f t="shared" si="10"/>
        <v>28420</v>
      </c>
      <c r="H72" s="25">
        <v>21448.86</v>
      </c>
      <c r="I72" s="16">
        <f t="shared" si="15"/>
        <v>41920</v>
      </c>
      <c r="J72" s="16">
        <f t="shared" si="11"/>
        <v>27250</v>
      </c>
      <c r="K72" s="25">
        <f t="shared" si="12"/>
        <v>29340</v>
      </c>
      <c r="L72" s="25">
        <f t="shared" ref="L72:L91" si="19">ROUND((I72*0.8),-1)</f>
        <v>33540</v>
      </c>
      <c r="M72" s="16">
        <f t="shared" si="13"/>
        <v>35630</v>
      </c>
      <c r="N72" s="17">
        <f t="shared" si="16"/>
        <v>0.36049910554561715</v>
      </c>
      <c r="O72" s="17">
        <f t="shared" si="17"/>
        <v>0.48833826335877861</v>
      </c>
      <c r="P72">
        <f t="shared" si="18"/>
        <v>29340</v>
      </c>
    </row>
    <row r="73" spans="1:16" x14ac:dyDescent="0.2">
      <c r="A73" t="s">
        <v>189</v>
      </c>
      <c r="B73" s="2" t="s">
        <v>83</v>
      </c>
      <c r="C73" s="2" t="s">
        <v>84</v>
      </c>
      <c r="D73" s="46"/>
      <c r="E73" s="32">
        <v>76153</v>
      </c>
      <c r="F73" s="6">
        <f t="shared" si="14"/>
        <v>53307.1</v>
      </c>
      <c r="G73" s="25">
        <f t="shared" si="10"/>
        <v>60920</v>
      </c>
      <c r="H73" s="25">
        <v>45975.159999999996</v>
      </c>
      <c r="I73" s="16">
        <f t="shared" si="15"/>
        <v>89860</v>
      </c>
      <c r="J73" s="16">
        <f t="shared" si="11"/>
        <v>58410</v>
      </c>
      <c r="K73" s="25">
        <f t="shared" si="12"/>
        <v>62900</v>
      </c>
      <c r="L73" s="25">
        <f t="shared" si="19"/>
        <v>71890</v>
      </c>
      <c r="M73" s="16">
        <f t="shared" si="13"/>
        <v>76380</v>
      </c>
      <c r="N73" s="17">
        <f t="shared" si="16"/>
        <v>0.36047906523855894</v>
      </c>
      <c r="O73" s="17">
        <f t="shared" si="17"/>
        <v>0.48836901847318054</v>
      </c>
      <c r="P73">
        <f t="shared" si="18"/>
        <v>62900</v>
      </c>
    </row>
    <row r="74" spans="1:16" x14ac:dyDescent="0.2">
      <c r="A74" t="s">
        <v>189</v>
      </c>
      <c r="B74" s="2" t="s">
        <v>130</v>
      </c>
      <c r="C74" s="2" t="s">
        <v>156</v>
      </c>
      <c r="D74" s="46"/>
      <c r="E74" s="32">
        <v>121110</v>
      </c>
      <c r="F74" s="6">
        <f t="shared" si="14"/>
        <v>84777</v>
      </c>
      <c r="G74" s="25">
        <f t="shared" si="10"/>
        <v>96890</v>
      </c>
      <c r="H74" s="25">
        <v>73118.936000000002</v>
      </c>
      <c r="I74" s="16">
        <f t="shared" si="15"/>
        <v>142910</v>
      </c>
      <c r="J74" s="16">
        <f t="shared" si="11"/>
        <v>92890</v>
      </c>
      <c r="K74" s="25">
        <f t="shared" si="12"/>
        <v>100040</v>
      </c>
      <c r="L74" s="25">
        <f t="shared" si="19"/>
        <v>114330</v>
      </c>
      <c r="M74" s="16">
        <f t="shared" si="13"/>
        <v>121470</v>
      </c>
      <c r="N74" s="17">
        <f t="shared" si="16"/>
        <v>0.36045713286101633</v>
      </c>
      <c r="O74" s="17">
        <f t="shared" si="17"/>
        <v>0.48835675600027989</v>
      </c>
      <c r="P74">
        <f t="shared" si="18"/>
        <v>100040</v>
      </c>
    </row>
    <row r="75" spans="1:16" x14ac:dyDescent="0.2">
      <c r="B75" s="30" t="s">
        <v>35</v>
      </c>
      <c r="C75" s="23"/>
      <c r="D75" s="46"/>
      <c r="E75" s="32">
        <v>0</v>
      </c>
      <c r="F75" s="6">
        <f t="shared" si="14"/>
        <v>0</v>
      </c>
      <c r="G75" s="25">
        <f t="shared" si="10"/>
        <v>0</v>
      </c>
      <c r="H75" s="25">
        <v>0</v>
      </c>
      <c r="I75" s="16">
        <f t="shared" si="15"/>
        <v>0</v>
      </c>
      <c r="J75" s="16">
        <f t="shared" si="11"/>
        <v>0</v>
      </c>
      <c r="K75" s="25">
        <f t="shared" si="12"/>
        <v>0</v>
      </c>
      <c r="L75" s="25">
        <f t="shared" si="19"/>
        <v>0</v>
      </c>
      <c r="M75" s="16">
        <f t="shared" si="13"/>
        <v>0</v>
      </c>
      <c r="N75" s="17"/>
      <c r="O75" s="17"/>
      <c r="P75">
        <f t="shared" si="18"/>
        <v>0</v>
      </c>
    </row>
    <row r="76" spans="1:16" x14ac:dyDescent="0.2">
      <c r="A76" t="s">
        <v>189</v>
      </c>
      <c r="B76" s="2" t="s">
        <v>131</v>
      </c>
      <c r="C76" s="2" t="s">
        <v>132</v>
      </c>
      <c r="D76" s="47"/>
      <c r="E76" s="32">
        <v>112230</v>
      </c>
      <c r="F76" s="6">
        <f t="shared" si="14"/>
        <v>78561</v>
      </c>
      <c r="G76" s="25">
        <f t="shared" si="10"/>
        <v>89780</v>
      </c>
      <c r="H76" s="25">
        <v>67755.600000000006</v>
      </c>
      <c r="I76" s="16">
        <f t="shared" si="15"/>
        <v>132430</v>
      </c>
      <c r="J76" s="16">
        <f t="shared" si="11"/>
        <v>86080</v>
      </c>
      <c r="K76" s="25">
        <f t="shared" si="12"/>
        <v>92700</v>
      </c>
      <c r="L76" s="25">
        <f t="shared" si="19"/>
        <v>105940</v>
      </c>
      <c r="M76" s="16">
        <f t="shared" si="13"/>
        <v>112570</v>
      </c>
      <c r="N76" s="17">
        <f t="shared" si="16"/>
        <v>0.36043420804228804</v>
      </c>
      <c r="O76" s="17">
        <f t="shared" si="17"/>
        <v>0.48836668428603786</v>
      </c>
      <c r="P76">
        <f t="shared" si="18"/>
        <v>92700</v>
      </c>
    </row>
    <row r="77" spans="1:16" x14ac:dyDescent="0.2">
      <c r="A77" t="s">
        <v>189</v>
      </c>
      <c r="B77" s="2" t="s">
        <v>133</v>
      </c>
      <c r="C77" s="2" t="s">
        <v>134</v>
      </c>
      <c r="D77" s="46"/>
      <c r="E77" s="32">
        <v>57300</v>
      </c>
      <c r="F77" s="6">
        <f t="shared" si="14"/>
        <v>40110</v>
      </c>
      <c r="G77" s="25">
        <f t="shared" si="10"/>
        <v>45840</v>
      </c>
      <c r="H77" s="25">
        <v>34591.700000000004</v>
      </c>
      <c r="I77" s="16">
        <f t="shared" si="15"/>
        <v>67610</v>
      </c>
      <c r="J77" s="16">
        <f t="shared" si="11"/>
        <v>43950</v>
      </c>
      <c r="K77" s="25">
        <f t="shared" si="12"/>
        <v>47330</v>
      </c>
      <c r="L77" s="25">
        <f t="shared" si="19"/>
        <v>54090</v>
      </c>
      <c r="M77" s="16">
        <f t="shared" si="13"/>
        <v>57470</v>
      </c>
      <c r="N77" s="17">
        <f t="shared" si="16"/>
        <v>0.36047883157700122</v>
      </c>
      <c r="O77" s="17">
        <f t="shared" si="17"/>
        <v>0.48836414731548583</v>
      </c>
      <c r="P77">
        <f t="shared" si="18"/>
        <v>47330</v>
      </c>
    </row>
    <row r="78" spans="1:16" x14ac:dyDescent="0.2">
      <c r="A78" t="s">
        <v>189</v>
      </c>
      <c r="B78" s="2" t="s">
        <v>135</v>
      </c>
      <c r="C78" s="2" t="s">
        <v>136</v>
      </c>
      <c r="D78" s="46"/>
      <c r="E78" s="32">
        <v>64720</v>
      </c>
      <c r="F78" s="6">
        <f t="shared" si="14"/>
        <v>45304</v>
      </c>
      <c r="G78" s="25">
        <f t="shared" si="10"/>
        <v>51780</v>
      </c>
      <c r="H78" s="25">
        <v>39069.799999999996</v>
      </c>
      <c r="I78" s="16">
        <f t="shared" si="15"/>
        <v>76370</v>
      </c>
      <c r="J78" s="16">
        <f t="shared" si="11"/>
        <v>49640</v>
      </c>
      <c r="K78" s="25">
        <f t="shared" si="12"/>
        <v>53460</v>
      </c>
      <c r="L78" s="25">
        <f t="shared" si="19"/>
        <v>61100</v>
      </c>
      <c r="M78" s="16">
        <f t="shared" si="13"/>
        <v>64910</v>
      </c>
      <c r="N78" s="17">
        <f t="shared" si="16"/>
        <v>0.36055973813420628</v>
      </c>
      <c r="O78" s="17">
        <f t="shared" si="17"/>
        <v>0.48841429880843268</v>
      </c>
      <c r="P78">
        <f t="shared" si="18"/>
        <v>53460</v>
      </c>
    </row>
    <row r="79" spans="1:16" x14ac:dyDescent="0.2">
      <c r="A79" t="s">
        <v>189</v>
      </c>
      <c r="B79" s="2" t="s">
        <v>137</v>
      </c>
      <c r="C79" s="2" t="s">
        <v>138</v>
      </c>
      <c r="D79" s="46"/>
      <c r="E79" s="32">
        <v>75470</v>
      </c>
      <c r="F79" s="6">
        <f t="shared" si="14"/>
        <v>52829</v>
      </c>
      <c r="G79" s="25">
        <f t="shared" si="10"/>
        <v>60380</v>
      </c>
      <c r="H79" s="25">
        <v>45559.799999999996</v>
      </c>
      <c r="I79" s="16">
        <f t="shared" si="15"/>
        <v>89050</v>
      </c>
      <c r="J79" s="16">
        <f t="shared" si="11"/>
        <v>57880</v>
      </c>
      <c r="K79" s="25">
        <f t="shared" si="12"/>
        <v>62340</v>
      </c>
      <c r="L79" s="25">
        <f t="shared" si="19"/>
        <v>71240</v>
      </c>
      <c r="M79" s="16">
        <f t="shared" si="13"/>
        <v>75690</v>
      </c>
      <c r="N79" s="17">
        <f t="shared" si="16"/>
        <v>0.36047445255474458</v>
      </c>
      <c r="O79" s="17">
        <f t="shared" si="17"/>
        <v>0.48837956204379568</v>
      </c>
      <c r="P79">
        <f t="shared" si="18"/>
        <v>62340</v>
      </c>
    </row>
    <row r="80" spans="1:16" x14ac:dyDescent="0.2">
      <c r="A80" t="s">
        <v>189</v>
      </c>
      <c r="B80" s="2" t="s">
        <v>139</v>
      </c>
      <c r="C80" s="2" t="s">
        <v>140</v>
      </c>
      <c r="D80" s="46"/>
      <c r="E80" s="32">
        <v>87080</v>
      </c>
      <c r="F80" s="6">
        <f t="shared" si="14"/>
        <v>60955.999999999993</v>
      </c>
      <c r="G80" s="25">
        <f t="shared" si="10"/>
        <v>69660</v>
      </c>
      <c r="H80" s="25">
        <v>52569</v>
      </c>
      <c r="I80" s="16">
        <f t="shared" si="15"/>
        <v>102750</v>
      </c>
      <c r="J80" s="16">
        <f t="shared" si="11"/>
        <v>66790</v>
      </c>
      <c r="K80" s="25">
        <f t="shared" si="12"/>
        <v>71930</v>
      </c>
      <c r="L80" s="25">
        <f t="shared" si="19"/>
        <v>82200</v>
      </c>
      <c r="M80" s="16">
        <f t="shared" si="13"/>
        <v>87340</v>
      </c>
      <c r="N80" s="17">
        <f t="shared" si="16"/>
        <v>0.36047445255474453</v>
      </c>
      <c r="O80" s="17">
        <f t="shared" si="17"/>
        <v>0.48837956204379562</v>
      </c>
      <c r="P80">
        <f t="shared" si="18"/>
        <v>71930</v>
      </c>
    </row>
    <row r="81" spans="1:16" x14ac:dyDescent="0.2">
      <c r="A81" t="s">
        <v>189</v>
      </c>
      <c r="B81" s="2" t="s">
        <v>141</v>
      </c>
      <c r="C81" s="2" t="s">
        <v>142</v>
      </c>
      <c r="D81" s="46"/>
      <c r="E81" s="32">
        <v>86430</v>
      </c>
      <c r="F81" s="6">
        <f t="shared" si="14"/>
        <v>60500.999999999993</v>
      </c>
      <c r="G81" s="25">
        <f t="shared" si="10"/>
        <v>69140</v>
      </c>
      <c r="H81" s="25">
        <v>52179.6</v>
      </c>
      <c r="I81" s="16">
        <f t="shared" si="15"/>
        <v>101990</v>
      </c>
      <c r="J81" s="16">
        <f t="shared" si="11"/>
        <v>66290</v>
      </c>
      <c r="K81" s="25">
        <f t="shared" si="12"/>
        <v>71390</v>
      </c>
      <c r="L81" s="25">
        <f t="shared" si="19"/>
        <v>81590</v>
      </c>
      <c r="M81" s="16">
        <f t="shared" si="13"/>
        <v>86690</v>
      </c>
      <c r="N81" s="17">
        <f t="shared" si="16"/>
        <v>0.36046574335090087</v>
      </c>
      <c r="O81" s="17">
        <f t="shared" si="17"/>
        <v>0.48838513579762721</v>
      </c>
      <c r="P81">
        <f t="shared" si="18"/>
        <v>71390</v>
      </c>
    </row>
    <row r="82" spans="1:16" x14ac:dyDescent="0.2">
      <c r="A82" t="s">
        <v>189</v>
      </c>
      <c r="B82" s="2" t="s">
        <v>143</v>
      </c>
      <c r="C82" s="2" t="s">
        <v>144</v>
      </c>
      <c r="D82" s="46"/>
      <c r="E82" s="32">
        <v>110730</v>
      </c>
      <c r="F82" s="6">
        <f t="shared" si="14"/>
        <v>77511</v>
      </c>
      <c r="G82" s="25">
        <f t="shared" si="10"/>
        <v>88580</v>
      </c>
      <c r="H82" s="25">
        <v>66847</v>
      </c>
      <c r="I82" s="16">
        <f t="shared" si="15"/>
        <v>130660</v>
      </c>
      <c r="J82" s="16">
        <f t="shared" si="11"/>
        <v>84930</v>
      </c>
      <c r="K82" s="25">
        <f t="shared" si="12"/>
        <v>91460</v>
      </c>
      <c r="L82" s="25">
        <f t="shared" si="19"/>
        <v>104530</v>
      </c>
      <c r="M82" s="16">
        <f t="shared" si="13"/>
        <v>111060</v>
      </c>
      <c r="N82" s="17">
        <f t="shared" si="16"/>
        <v>0.36049937816894673</v>
      </c>
      <c r="O82" s="17">
        <f t="shared" si="17"/>
        <v>0.48838971376090617</v>
      </c>
      <c r="P82">
        <f t="shared" si="18"/>
        <v>91460</v>
      </c>
    </row>
    <row r="83" spans="1:16" x14ac:dyDescent="0.2">
      <c r="A83" t="s">
        <v>189</v>
      </c>
      <c r="B83" s="2" t="s">
        <v>145</v>
      </c>
      <c r="C83" s="2" t="s">
        <v>146</v>
      </c>
      <c r="D83" s="46"/>
      <c r="E83" s="32">
        <v>276280</v>
      </c>
      <c r="F83" s="6">
        <f t="shared" si="14"/>
        <v>193396</v>
      </c>
      <c r="G83" s="25">
        <f t="shared" si="10"/>
        <v>221020</v>
      </c>
      <c r="H83" s="25">
        <v>166793</v>
      </c>
      <c r="I83" s="16">
        <f t="shared" si="15"/>
        <v>326010</v>
      </c>
      <c r="J83" s="16">
        <f t="shared" si="11"/>
        <v>211910</v>
      </c>
      <c r="K83" s="25">
        <f t="shared" si="12"/>
        <v>228210</v>
      </c>
      <c r="L83" s="25">
        <f t="shared" si="19"/>
        <v>260810</v>
      </c>
      <c r="M83" s="16">
        <f t="shared" si="13"/>
        <v>277110</v>
      </c>
      <c r="N83" s="17">
        <f t="shared" si="16"/>
        <v>0.36048080978490088</v>
      </c>
      <c r="O83" s="17">
        <f t="shared" si="17"/>
        <v>0.48838072451765285</v>
      </c>
      <c r="P83">
        <f t="shared" si="18"/>
        <v>228210</v>
      </c>
    </row>
    <row r="84" spans="1:16" x14ac:dyDescent="0.2">
      <c r="B84" s="30" t="s">
        <v>147</v>
      </c>
      <c r="C84" s="23"/>
      <c r="D84" s="46"/>
      <c r="E84" s="32">
        <v>0</v>
      </c>
      <c r="F84" s="6">
        <f t="shared" si="14"/>
        <v>0</v>
      </c>
      <c r="G84" s="25">
        <f t="shared" si="10"/>
        <v>0</v>
      </c>
      <c r="H84" s="25">
        <v>0</v>
      </c>
      <c r="I84" s="16">
        <f t="shared" si="15"/>
        <v>0</v>
      </c>
      <c r="J84" s="16">
        <f t="shared" si="11"/>
        <v>0</v>
      </c>
      <c r="K84" s="25">
        <f t="shared" si="12"/>
        <v>0</v>
      </c>
      <c r="L84" s="25">
        <f t="shared" si="19"/>
        <v>0</v>
      </c>
      <c r="M84" s="16">
        <f t="shared" si="13"/>
        <v>0</v>
      </c>
      <c r="N84" s="17"/>
      <c r="O84" s="17"/>
      <c r="P84">
        <f t="shared" si="18"/>
        <v>0</v>
      </c>
    </row>
    <row r="85" spans="1:16" x14ac:dyDescent="0.2">
      <c r="A85" t="s">
        <v>189</v>
      </c>
      <c r="B85" s="2" t="s">
        <v>148</v>
      </c>
      <c r="C85" s="2" t="s">
        <v>149</v>
      </c>
      <c r="D85" s="47"/>
      <c r="E85" s="32">
        <v>272300</v>
      </c>
      <c r="F85" s="6">
        <f t="shared" si="14"/>
        <v>190610</v>
      </c>
      <c r="G85" s="25">
        <f t="shared" si="10"/>
        <v>217840</v>
      </c>
      <c r="H85" s="25">
        <v>164391.69999999998</v>
      </c>
      <c r="I85" s="16">
        <f t="shared" si="15"/>
        <v>321310</v>
      </c>
      <c r="J85" s="16">
        <f t="shared" si="11"/>
        <v>208850</v>
      </c>
      <c r="K85" s="25">
        <f t="shared" si="12"/>
        <v>224920</v>
      </c>
      <c r="L85" s="25">
        <f t="shared" si="19"/>
        <v>257050</v>
      </c>
      <c r="M85" s="16">
        <f t="shared" si="13"/>
        <v>273110</v>
      </c>
      <c r="N85" s="17">
        <f t="shared" si="16"/>
        <v>0.36046800233417631</v>
      </c>
      <c r="O85" s="17">
        <f t="shared" si="17"/>
        <v>0.48837042108866829</v>
      </c>
      <c r="P85">
        <f t="shared" si="18"/>
        <v>224920</v>
      </c>
    </row>
    <row r="86" spans="1:16" x14ac:dyDescent="0.2">
      <c r="A86" t="s">
        <v>189</v>
      </c>
      <c r="B86" s="2" t="s">
        <v>150</v>
      </c>
      <c r="C86" s="2" t="s">
        <v>151</v>
      </c>
      <c r="D86" s="46"/>
      <c r="E86" s="32">
        <v>193500</v>
      </c>
      <c r="F86" s="6">
        <f t="shared" si="14"/>
        <v>135450</v>
      </c>
      <c r="G86" s="25">
        <f t="shared" si="10"/>
        <v>154800</v>
      </c>
      <c r="H86" s="25">
        <v>116820.00000000001</v>
      </c>
      <c r="I86" s="16">
        <f t="shared" si="15"/>
        <v>228330</v>
      </c>
      <c r="J86" s="16">
        <f t="shared" si="11"/>
        <v>148410</v>
      </c>
      <c r="K86" s="25">
        <f t="shared" si="12"/>
        <v>159830</v>
      </c>
      <c r="L86" s="25">
        <f t="shared" si="19"/>
        <v>182660</v>
      </c>
      <c r="M86" s="16">
        <f t="shared" si="13"/>
        <v>194080</v>
      </c>
      <c r="N86" s="17">
        <f t="shared" si="16"/>
        <v>0.36045111135442892</v>
      </c>
      <c r="O86" s="17">
        <f t="shared" si="17"/>
        <v>0.48837209302325574</v>
      </c>
      <c r="P86">
        <f t="shared" si="18"/>
        <v>159830</v>
      </c>
    </row>
    <row r="87" spans="1:16" x14ac:dyDescent="0.2">
      <c r="A87" t="s">
        <v>189</v>
      </c>
      <c r="B87" s="2" t="s">
        <v>152</v>
      </c>
      <c r="C87" s="2" t="s">
        <v>153</v>
      </c>
      <c r="D87" s="46"/>
      <c r="E87" s="32">
        <v>269610</v>
      </c>
      <c r="F87" s="6">
        <f t="shared" si="14"/>
        <v>188727</v>
      </c>
      <c r="G87" s="25">
        <f t="shared" si="10"/>
        <v>215690</v>
      </c>
      <c r="H87" s="25">
        <v>162769.19999999998</v>
      </c>
      <c r="I87" s="16">
        <f t="shared" si="15"/>
        <v>318140</v>
      </c>
      <c r="J87" s="16">
        <f>ROUND(I87*0.65,-1)</f>
        <v>206790</v>
      </c>
      <c r="K87" s="25">
        <f>ROUND(I87*0.7,-1)</f>
        <v>222700</v>
      </c>
      <c r="L87" s="25">
        <f>ROUND((I87*0.8),-1)</f>
        <v>254510</v>
      </c>
      <c r="M87" s="16">
        <f>ROUND(I87*0.85,-1)</f>
        <v>270420</v>
      </c>
      <c r="N87" s="17">
        <f t="shared" si="16"/>
        <v>0.36046049271148489</v>
      </c>
      <c r="O87" s="17">
        <f t="shared" si="17"/>
        <v>0.48837241466021253</v>
      </c>
      <c r="P87">
        <f t="shared" si="18"/>
        <v>222700</v>
      </c>
    </row>
    <row r="88" spans="1:16" x14ac:dyDescent="0.2">
      <c r="B88" s="30" t="s">
        <v>154</v>
      </c>
      <c r="C88" s="23"/>
      <c r="D88" s="46"/>
      <c r="E88" s="32">
        <v>0</v>
      </c>
      <c r="F88" s="6">
        <f t="shared" si="14"/>
        <v>0</v>
      </c>
      <c r="G88" s="25">
        <f t="shared" si="10"/>
        <v>0</v>
      </c>
      <c r="H88" s="25">
        <v>0</v>
      </c>
      <c r="I88" s="16">
        <f t="shared" si="15"/>
        <v>0</v>
      </c>
      <c r="J88" s="16">
        <f>ROUND(I88*0.65,-1)</f>
        <v>0</v>
      </c>
      <c r="K88" s="25">
        <f>ROUND(I88*0.7,-1)</f>
        <v>0</v>
      </c>
      <c r="L88" s="25">
        <f>ROUND((I88*0.8),-1)</f>
        <v>0</v>
      </c>
      <c r="M88" s="16">
        <f>ROUND(I88*0.85,-1)</f>
        <v>0</v>
      </c>
      <c r="N88" s="17"/>
      <c r="O88" s="17"/>
      <c r="P88">
        <f t="shared" si="18"/>
        <v>0</v>
      </c>
    </row>
    <row r="89" spans="1:16" x14ac:dyDescent="0.2">
      <c r="A89" t="s">
        <v>189</v>
      </c>
      <c r="B89" s="2" t="s">
        <v>155</v>
      </c>
      <c r="C89" s="2" t="s">
        <v>178</v>
      </c>
      <c r="D89" s="47"/>
      <c r="E89" s="32">
        <v>99920</v>
      </c>
      <c r="F89" s="6">
        <f t="shared" si="14"/>
        <v>69944</v>
      </c>
      <c r="G89" s="25">
        <f t="shared" si="10"/>
        <v>79940</v>
      </c>
      <c r="H89" s="25">
        <v>60324.55</v>
      </c>
      <c r="I89" s="16">
        <f t="shared" si="15"/>
        <v>117910</v>
      </c>
      <c r="J89" s="16">
        <f t="shared" si="11"/>
        <v>76640</v>
      </c>
      <c r="K89" s="25">
        <f t="shared" si="12"/>
        <v>82540</v>
      </c>
      <c r="L89" s="25">
        <f t="shared" si="19"/>
        <v>94330</v>
      </c>
      <c r="M89" s="16">
        <f t="shared" si="13"/>
        <v>100220</v>
      </c>
      <c r="N89" s="17">
        <f t="shared" si="16"/>
        <v>0.36049454044312518</v>
      </c>
      <c r="O89" s="17">
        <f t="shared" si="17"/>
        <v>0.48838478500551263</v>
      </c>
      <c r="P89">
        <f t="shared" si="18"/>
        <v>82530</v>
      </c>
    </row>
    <row r="90" spans="1:16" x14ac:dyDescent="0.2">
      <c r="B90" s="30" t="s">
        <v>173</v>
      </c>
      <c r="D90" s="46"/>
      <c r="E90" s="41"/>
      <c r="F90" s="6">
        <f t="shared" si="14"/>
        <v>0</v>
      </c>
      <c r="G90" s="25">
        <f t="shared" si="10"/>
        <v>0</v>
      </c>
      <c r="H90" s="25"/>
      <c r="I90" s="16">
        <f t="shared" si="15"/>
        <v>0</v>
      </c>
      <c r="J90" s="16">
        <f t="shared" si="11"/>
        <v>0</v>
      </c>
      <c r="K90" s="25">
        <f t="shared" si="12"/>
        <v>0</v>
      </c>
      <c r="L90" s="25">
        <f t="shared" si="19"/>
        <v>0</v>
      </c>
      <c r="M90" s="16">
        <f t="shared" si="13"/>
        <v>0</v>
      </c>
      <c r="N90" s="17"/>
      <c r="O90" s="17"/>
      <c r="P90">
        <f t="shared" si="18"/>
        <v>0</v>
      </c>
    </row>
    <row r="91" spans="1:16" x14ac:dyDescent="0.2">
      <c r="A91" t="s">
        <v>189</v>
      </c>
      <c r="B91" s="40" t="s">
        <v>174</v>
      </c>
      <c r="C91" s="2" t="s">
        <v>176</v>
      </c>
      <c r="E91" s="41">
        <v>24035.000000000004</v>
      </c>
      <c r="F91" s="6">
        <f t="shared" si="14"/>
        <v>16824.5</v>
      </c>
      <c r="G91" s="16">
        <f t="shared" si="10"/>
        <v>19230</v>
      </c>
      <c r="H91" s="16">
        <v>14182</v>
      </c>
      <c r="I91" s="16">
        <f t="shared" si="15"/>
        <v>28360</v>
      </c>
      <c r="J91" s="16">
        <f t="shared" si="11"/>
        <v>18430</v>
      </c>
      <c r="K91" s="16">
        <f t="shared" si="12"/>
        <v>19850</v>
      </c>
      <c r="L91" s="16">
        <f t="shared" si="19"/>
        <v>22690</v>
      </c>
      <c r="M91" s="16">
        <f t="shared" si="13"/>
        <v>24110</v>
      </c>
      <c r="N91" s="17">
        <f t="shared" si="16"/>
        <v>0.37496694579109741</v>
      </c>
      <c r="O91" s="17">
        <f t="shared" si="17"/>
        <v>0.49992947813822286</v>
      </c>
      <c r="P91">
        <f t="shared" si="18"/>
        <v>19850</v>
      </c>
    </row>
  </sheetData>
  <mergeCells count="1">
    <mergeCell ref="B2:C2"/>
  </mergeCells>
  <phoneticPr fontId="4" type="noConversion"/>
  <pageMargins left="0.7" right="0.7" top="0.75" bottom="0.75" header="0.3" footer="0.3"/>
  <pageSetup paperSize="9" scale="49" orientation="portrait" horizontalDpi="0" verticalDpi="0"/>
  <rowBreaks count="1" manualBreakCount="1">
    <brk id="53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5F93-5E75-CE48-950C-0C446C6BDBA9}">
  <dimension ref="A2:M90"/>
  <sheetViews>
    <sheetView topLeftCell="A35" zoomScale="140" zoomScaleNormal="140" workbookViewId="0">
      <selection activeCell="C1" sqref="C1:C1048576"/>
    </sheetView>
  </sheetViews>
  <sheetFormatPr baseColWidth="10" defaultRowHeight="15" x14ac:dyDescent="0.2"/>
  <cols>
    <col min="1" max="1" width="24.6640625" bestFit="1" customWidth="1"/>
    <col min="2" max="2" width="25.83203125" customWidth="1"/>
    <col min="3" max="3" width="9.1640625" hidden="1" customWidth="1"/>
    <col min="4" max="7" width="11.6640625" bestFit="1" customWidth="1"/>
    <col min="8" max="8" width="11.6640625" customWidth="1"/>
    <col min="9" max="11" width="11.6640625" bestFit="1" customWidth="1"/>
    <col min="12" max="12" width="10" bestFit="1" customWidth="1"/>
  </cols>
  <sheetData>
    <row r="2" spans="1:13" ht="22" thickBot="1" x14ac:dyDescent="0.3">
      <c r="A2" s="48" t="s">
        <v>86</v>
      </c>
      <c r="B2" s="48"/>
      <c r="C2" s="48"/>
      <c r="D2" s="48"/>
      <c r="E2" s="48"/>
      <c r="F2" s="24"/>
      <c r="G2" s="24"/>
      <c r="H2" s="24"/>
      <c r="I2" s="24"/>
      <c r="J2" s="24"/>
      <c r="K2" s="24"/>
    </row>
    <row r="3" spans="1:13" ht="81" thickBot="1" x14ac:dyDescent="0.25">
      <c r="A3" s="3" t="s">
        <v>0</v>
      </c>
      <c r="B3" s="4" t="s">
        <v>1</v>
      </c>
      <c r="C3" s="42" t="s">
        <v>180</v>
      </c>
      <c r="D3" s="5" t="s">
        <v>182</v>
      </c>
      <c r="E3" s="5" t="s">
        <v>183</v>
      </c>
      <c r="F3" s="5" t="s">
        <v>184</v>
      </c>
      <c r="G3" s="18" t="s">
        <v>185</v>
      </c>
      <c r="H3" s="18" t="s">
        <v>168</v>
      </c>
      <c r="I3" s="18" t="s">
        <v>181</v>
      </c>
      <c r="J3" s="18" t="s">
        <v>85</v>
      </c>
      <c r="K3" s="18" t="s">
        <v>80</v>
      </c>
      <c r="L3" s="18" t="s">
        <v>76</v>
      </c>
      <c r="M3" s="20" t="s">
        <v>87</v>
      </c>
    </row>
    <row r="4" spans="1:13" ht="17" thickBot="1" x14ac:dyDescent="0.25">
      <c r="A4" s="28" t="s">
        <v>99</v>
      </c>
      <c r="B4" s="1"/>
      <c r="C4" s="44"/>
      <c r="D4" s="16"/>
      <c r="E4" s="16"/>
      <c r="F4" s="6"/>
      <c r="G4" s="16"/>
      <c r="H4" s="16"/>
      <c r="I4" s="16"/>
      <c r="J4" s="16"/>
      <c r="K4" s="16"/>
      <c r="L4" s="17"/>
      <c r="M4" s="19"/>
    </row>
    <row r="5" spans="1:13" ht="17" thickBot="1" x14ac:dyDescent="0.25">
      <c r="A5" s="10" t="s">
        <v>2</v>
      </c>
      <c r="B5" s="8"/>
      <c r="C5" s="44"/>
      <c r="D5" s="16"/>
      <c r="E5" s="16"/>
      <c r="F5" s="6"/>
      <c r="G5" s="16"/>
      <c r="H5" s="16"/>
      <c r="I5" s="16"/>
      <c r="J5" s="16"/>
      <c r="K5" s="16"/>
      <c r="L5" s="17"/>
      <c r="M5" s="17"/>
    </row>
    <row r="6" spans="1:13" ht="32" x14ac:dyDescent="0.2">
      <c r="A6" s="12" t="s">
        <v>66</v>
      </c>
      <c r="B6" s="1" t="s">
        <v>67</v>
      </c>
      <c r="C6">
        <v>85182200</v>
      </c>
      <c r="D6" s="16">
        <v>1063</v>
      </c>
      <c r="E6" s="16">
        <v>1932</v>
      </c>
      <c r="F6" s="6">
        <f>E6-(E6*0.3)</f>
        <v>1352.4</v>
      </c>
      <c r="G6" s="16">
        <f t="shared" ref="G6:G35" si="0">ROUND((E6*0.8),-1)</f>
        <v>1550</v>
      </c>
      <c r="H6" s="16">
        <f>D6*1.18</f>
        <v>1254.3399999999999</v>
      </c>
      <c r="I6" s="16">
        <f>ROUND(E6+(E6*0.18),-1)</f>
        <v>2280</v>
      </c>
      <c r="J6" s="16">
        <f>ROUND(I6*0.7,-1)</f>
        <v>1600</v>
      </c>
      <c r="K6" s="16">
        <f>ROUND((I6*0.8),-1)</f>
        <v>1820</v>
      </c>
      <c r="L6" s="17">
        <f t="shared" ref="L6:L11" si="1">((F6-D6)/F6)</f>
        <v>0.21398994380360845</v>
      </c>
      <c r="M6" s="17">
        <f>((G6-D6)/G6)</f>
        <v>0.31419354838709679</v>
      </c>
    </row>
    <row r="7" spans="1:13" ht="32" x14ac:dyDescent="0.2">
      <c r="A7" s="13" t="s">
        <v>3</v>
      </c>
      <c r="B7" s="1" t="s">
        <v>4</v>
      </c>
      <c r="C7">
        <v>85182200</v>
      </c>
      <c r="D7" s="16">
        <v>1708</v>
      </c>
      <c r="E7" s="16">
        <v>3105</v>
      </c>
      <c r="F7" s="6">
        <f t="shared" ref="F7:F62" si="2">E7-(E7*0.3)</f>
        <v>2173.5</v>
      </c>
      <c r="G7" s="16">
        <f t="shared" si="0"/>
        <v>2480</v>
      </c>
      <c r="H7" s="16">
        <f t="shared" ref="H7:H69" si="3">D7*1.18</f>
        <v>2015.4399999999998</v>
      </c>
      <c r="I7" s="16">
        <f t="shared" ref="I7:I35" si="4">ROUND(E7+(E7*0.18),-1)</f>
        <v>3660</v>
      </c>
      <c r="J7" s="16">
        <f t="shared" ref="J7:J69" si="5">ROUND(I7*0.7,-1)</f>
        <v>2560</v>
      </c>
      <c r="K7" s="16">
        <f>ROUND((I7*0.8),-1)</f>
        <v>2930</v>
      </c>
      <c r="L7" s="17">
        <f t="shared" si="1"/>
        <v>0.214170692431562</v>
      </c>
      <c r="M7" s="17">
        <f t="shared" ref="M7:M11" si="6">((G7-D7)/G7)</f>
        <v>0.31129032258064515</v>
      </c>
    </row>
    <row r="8" spans="1:13" ht="32" x14ac:dyDescent="0.2">
      <c r="A8" s="13" t="s">
        <v>5</v>
      </c>
      <c r="B8" s="1" t="s">
        <v>6</v>
      </c>
      <c r="C8">
        <v>85182200</v>
      </c>
      <c r="D8" s="16">
        <v>2214</v>
      </c>
      <c r="E8" s="16">
        <v>4025</v>
      </c>
      <c r="F8" s="6">
        <f t="shared" si="2"/>
        <v>2817.5</v>
      </c>
      <c r="G8" s="16">
        <f t="shared" si="0"/>
        <v>3220</v>
      </c>
      <c r="H8" s="16">
        <f t="shared" si="3"/>
        <v>2612.52</v>
      </c>
      <c r="I8" s="16">
        <f t="shared" si="4"/>
        <v>4750</v>
      </c>
      <c r="J8" s="16">
        <f t="shared" si="5"/>
        <v>3330</v>
      </c>
      <c r="K8" s="16">
        <f>ROUND((I8*0.8),-1)</f>
        <v>3800</v>
      </c>
      <c r="L8" s="17">
        <f t="shared" si="1"/>
        <v>0.21419698314108251</v>
      </c>
      <c r="M8" s="17">
        <f t="shared" si="6"/>
        <v>0.31242236024844722</v>
      </c>
    </row>
    <row r="9" spans="1:13" ht="48" x14ac:dyDescent="0.2">
      <c r="A9" s="13" t="s">
        <v>7</v>
      </c>
      <c r="B9" s="1" t="s">
        <v>8</v>
      </c>
      <c r="C9">
        <v>85182200</v>
      </c>
      <c r="D9" s="16">
        <v>3131</v>
      </c>
      <c r="E9" s="16">
        <v>5693</v>
      </c>
      <c r="F9" s="6">
        <f t="shared" si="2"/>
        <v>3985.1000000000004</v>
      </c>
      <c r="G9" s="16">
        <f t="shared" si="0"/>
        <v>4550</v>
      </c>
      <c r="H9" s="16">
        <f t="shared" si="3"/>
        <v>3694.58</v>
      </c>
      <c r="I9" s="16">
        <f t="shared" si="4"/>
        <v>6720</v>
      </c>
      <c r="J9" s="16">
        <f t="shared" si="5"/>
        <v>4700</v>
      </c>
      <c r="K9" s="16">
        <f t="shared" ref="K9:K71" si="7">ROUND((I9*0.8),-1)</f>
        <v>5380</v>
      </c>
      <c r="L9" s="17">
        <f t="shared" si="1"/>
        <v>0.2143233544954958</v>
      </c>
      <c r="M9" s="17">
        <f t="shared" si="6"/>
        <v>0.31186813186813189</v>
      </c>
    </row>
    <row r="10" spans="1:13" ht="48" x14ac:dyDescent="0.2">
      <c r="A10" s="13" t="s">
        <v>58</v>
      </c>
      <c r="B10" s="1" t="s">
        <v>9</v>
      </c>
      <c r="C10">
        <v>85182200</v>
      </c>
      <c r="D10" s="16">
        <v>3605</v>
      </c>
      <c r="E10" s="16">
        <v>6555</v>
      </c>
      <c r="F10" s="6">
        <f t="shared" si="2"/>
        <v>4588.5</v>
      </c>
      <c r="G10" s="16">
        <f t="shared" si="0"/>
        <v>5240</v>
      </c>
      <c r="H10" s="16">
        <f t="shared" si="3"/>
        <v>4253.8999999999996</v>
      </c>
      <c r="I10" s="16">
        <f t="shared" si="4"/>
        <v>7730</v>
      </c>
      <c r="J10" s="16">
        <f t="shared" si="5"/>
        <v>5410</v>
      </c>
      <c r="K10" s="16">
        <f t="shared" si="7"/>
        <v>6180</v>
      </c>
      <c r="L10" s="17">
        <f t="shared" si="1"/>
        <v>0.21434019832189169</v>
      </c>
      <c r="M10" s="17">
        <f t="shared" si="6"/>
        <v>0.31202290076335876</v>
      </c>
    </row>
    <row r="11" spans="1:13" ht="49" thickBot="1" x14ac:dyDescent="0.25">
      <c r="A11" s="14" t="s">
        <v>68</v>
      </c>
      <c r="B11" s="1" t="s">
        <v>69</v>
      </c>
      <c r="C11">
        <v>85182200</v>
      </c>
      <c r="D11" s="16">
        <v>4870</v>
      </c>
      <c r="E11" s="16">
        <v>8855</v>
      </c>
      <c r="F11" s="6">
        <f t="shared" si="2"/>
        <v>6198.5</v>
      </c>
      <c r="G11" s="16">
        <f t="shared" si="0"/>
        <v>7080</v>
      </c>
      <c r="H11" s="16">
        <f t="shared" si="3"/>
        <v>5746.5999999999995</v>
      </c>
      <c r="I11" s="16">
        <f t="shared" si="4"/>
        <v>10450</v>
      </c>
      <c r="J11" s="16">
        <f t="shared" si="5"/>
        <v>7320</v>
      </c>
      <c r="K11" s="16">
        <f t="shared" si="7"/>
        <v>8360</v>
      </c>
      <c r="L11" s="17">
        <f t="shared" si="1"/>
        <v>0.21432604662418328</v>
      </c>
      <c r="M11" s="17">
        <f t="shared" si="6"/>
        <v>0.31214689265536721</v>
      </c>
    </row>
    <row r="12" spans="1:13" ht="17" thickBot="1" x14ac:dyDescent="0.25">
      <c r="A12" s="10" t="s">
        <v>10</v>
      </c>
      <c r="B12" s="8"/>
      <c r="D12" s="16">
        <v>0</v>
      </c>
      <c r="E12" s="16">
        <v>0</v>
      </c>
      <c r="F12" s="6">
        <f t="shared" si="2"/>
        <v>0</v>
      </c>
      <c r="G12" s="16">
        <f t="shared" si="0"/>
        <v>0</v>
      </c>
      <c r="H12" s="16">
        <f t="shared" si="3"/>
        <v>0</v>
      </c>
      <c r="I12" s="16">
        <f t="shared" si="4"/>
        <v>0</v>
      </c>
      <c r="J12" s="16">
        <f t="shared" si="5"/>
        <v>0</v>
      </c>
      <c r="K12" s="16">
        <f t="shared" si="7"/>
        <v>0</v>
      </c>
      <c r="L12" s="17"/>
      <c r="M12" s="17"/>
    </row>
    <row r="13" spans="1:13" ht="32" x14ac:dyDescent="0.2">
      <c r="A13" s="15" t="s">
        <v>11</v>
      </c>
      <c r="B13" s="1" t="s">
        <v>12</v>
      </c>
      <c r="C13">
        <v>85182200</v>
      </c>
      <c r="D13" s="16">
        <v>2024</v>
      </c>
      <c r="E13" s="16">
        <v>3680</v>
      </c>
      <c r="F13" s="6">
        <f t="shared" si="2"/>
        <v>2576</v>
      </c>
      <c r="G13" s="16">
        <f t="shared" si="0"/>
        <v>2940</v>
      </c>
      <c r="H13" s="16">
        <f t="shared" si="3"/>
        <v>2388.3199999999997</v>
      </c>
      <c r="I13" s="16">
        <f t="shared" si="4"/>
        <v>4340</v>
      </c>
      <c r="J13" s="16">
        <f t="shared" si="5"/>
        <v>3040</v>
      </c>
      <c r="K13" s="16">
        <f t="shared" si="7"/>
        <v>3470</v>
      </c>
      <c r="L13" s="17">
        <f t="shared" ref="L13:L22" si="8">((F13-D13)/F13)</f>
        <v>0.21428571428571427</v>
      </c>
      <c r="M13" s="17">
        <f t="shared" ref="M13:M22" si="9">((G13-D13)/G13)</f>
        <v>0.31156462585034012</v>
      </c>
    </row>
    <row r="14" spans="1:13" ht="32" x14ac:dyDescent="0.2">
      <c r="A14" s="13" t="s">
        <v>13</v>
      </c>
      <c r="B14" s="1" t="s">
        <v>14</v>
      </c>
      <c r="C14">
        <v>85182200</v>
      </c>
      <c r="D14" s="16">
        <v>3909</v>
      </c>
      <c r="E14" s="16">
        <v>7107</v>
      </c>
      <c r="F14" s="6">
        <f t="shared" si="2"/>
        <v>4974.8999999999996</v>
      </c>
      <c r="G14" s="16">
        <f t="shared" si="0"/>
        <v>5690</v>
      </c>
      <c r="H14" s="16">
        <f t="shared" si="3"/>
        <v>4612.62</v>
      </c>
      <c r="I14" s="16">
        <f t="shared" si="4"/>
        <v>8390</v>
      </c>
      <c r="J14" s="16">
        <f t="shared" si="5"/>
        <v>5870</v>
      </c>
      <c r="K14" s="16">
        <f t="shared" si="7"/>
        <v>6710</v>
      </c>
      <c r="L14" s="17">
        <f t="shared" si="8"/>
        <v>0.2142555629258879</v>
      </c>
      <c r="M14" s="17">
        <f t="shared" si="9"/>
        <v>0.31300527240773285</v>
      </c>
    </row>
    <row r="15" spans="1:13" ht="32" x14ac:dyDescent="0.2">
      <c r="A15" s="13" t="s">
        <v>52</v>
      </c>
      <c r="B15" s="1" t="s">
        <v>53</v>
      </c>
      <c r="C15">
        <v>85182200</v>
      </c>
      <c r="D15" s="16">
        <v>4617</v>
      </c>
      <c r="E15" s="16">
        <v>8395</v>
      </c>
      <c r="F15" s="6">
        <f t="shared" si="2"/>
        <v>5876.5</v>
      </c>
      <c r="G15" s="16">
        <f t="shared" si="0"/>
        <v>6720</v>
      </c>
      <c r="H15" s="16">
        <f t="shared" si="3"/>
        <v>5448.0599999999995</v>
      </c>
      <c r="I15" s="16">
        <f t="shared" si="4"/>
        <v>9910</v>
      </c>
      <c r="J15" s="16">
        <f t="shared" si="5"/>
        <v>6940</v>
      </c>
      <c r="K15" s="16">
        <f t="shared" si="7"/>
        <v>7930</v>
      </c>
      <c r="L15" s="17">
        <f t="shared" si="8"/>
        <v>0.21432825661533225</v>
      </c>
      <c r="M15" s="17">
        <f t="shared" si="9"/>
        <v>0.31294642857142857</v>
      </c>
    </row>
    <row r="16" spans="1:13" ht="32" x14ac:dyDescent="0.2">
      <c r="A16" s="13" t="s">
        <v>15</v>
      </c>
      <c r="B16" s="1" t="s">
        <v>16</v>
      </c>
      <c r="C16">
        <v>85182200</v>
      </c>
      <c r="D16" s="16">
        <v>2743</v>
      </c>
      <c r="E16" s="16">
        <v>4986</v>
      </c>
      <c r="F16" s="6">
        <f t="shared" si="2"/>
        <v>3490.2</v>
      </c>
      <c r="G16" s="16">
        <f t="shared" si="0"/>
        <v>3990</v>
      </c>
      <c r="H16" s="16">
        <f t="shared" si="3"/>
        <v>3236.74</v>
      </c>
      <c r="I16" s="16">
        <f t="shared" si="4"/>
        <v>5880</v>
      </c>
      <c r="J16" s="16">
        <f t="shared" si="5"/>
        <v>4120</v>
      </c>
      <c r="K16" s="16">
        <f t="shared" si="7"/>
        <v>4700</v>
      </c>
      <c r="L16" s="17">
        <f t="shared" si="8"/>
        <v>0.21408515271331152</v>
      </c>
      <c r="M16" s="17">
        <f t="shared" si="9"/>
        <v>0.31253132832080199</v>
      </c>
    </row>
    <row r="17" spans="1:13" ht="32" x14ac:dyDescent="0.2">
      <c r="A17" s="13" t="s">
        <v>17</v>
      </c>
      <c r="B17" s="1" t="s">
        <v>16</v>
      </c>
      <c r="C17">
        <v>85182200</v>
      </c>
      <c r="D17" s="16">
        <v>3577</v>
      </c>
      <c r="E17" s="16">
        <v>6502</v>
      </c>
      <c r="F17" s="6">
        <f t="shared" si="2"/>
        <v>4551.3999999999996</v>
      </c>
      <c r="G17" s="16">
        <f t="shared" si="0"/>
        <v>5200</v>
      </c>
      <c r="H17" s="16">
        <f t="shared" si="3"/>
        <v>4220.8599999999997</v>
      </c>
      <c r="I17" s="16">
        <f t="shared" si="4"/>
        <v>7670</v>
      </c>
      <c r="J17" s="16">
        <f t="shared" si="5"/>
        <v>5370</v>
      </c>
      <c r="K17" s="16">
        <f t="shared" si="7"/>
        <v>6140</v>
      </c>
      <c r="L17" s="17">
        <f t="shared" si="8"/>
        <v>0.21408797293140566</v>
      </c>
      <c r="M17" s="17">
        <f t="shared" si="9"/>
        <v>0.31211538461538463</v>
      </c>
    </row>
    <row r="18" spans="1:13" ht="32" x14ac:dyDescent="0.2">
      <c r="A18" s="13" t="s">
        <v>18</v>
      </c>
      <c r="B18" s="1" t="s">
        <v>19</v>
      </c>
      <c r="C18">
        <v>85182200</v>
      </c>
      <c r="D18" s="16">
        <v>1898</v>
      </c>
      <c r="E18" s="16">
        <v>3450</v>
      </c>
      <c r="F18" s="6">
        <f t="shared" si="2"/>
        <v>2415</v>
      </c>
      <c r="G18" s="16">
        <f t="shared" si="0"/>
        <v>2760</v>
      </c>
      <c r="H18" s="16">
        <f t="shared" si="3"/>
        <v>2239.64</v>
      </c>
      <c r="I18" s="16">
        <f t="shared" si="4"/>
        <v>4070</v>
      </c>
      <c r="J18" s="16">
        <f t="shared" si="5"/>
        <v>2850</v>
      </c>
      <c r="K18" s="16">
        <f t="shared" si="7"/>
        <v>3260</v>
      </c>
      <c r="L18" s="17">
        <f t="shared" si="8"/>
        <v>0.21407867494824018</v>
      </c>
      <c r="M18" s="17">
        <f t="shared" si="9"/>
        <v>0.31231884057971016</v>
      </c>
    </row>
    <row r="19" spans="1:13" ht="32" x14ac:dyDescent="0.2">
      <c r="A19" s="13" t="s">
        <v>20</v>
      </c>
      <c r="B19" s="1" t="s">
        <v>21</v>
      </c>
      <c r="C19">
        <v>85182200</v>
      </c>
      <c r="D19" s="16">
        <v>2087</v>
      </c>
      <c r="E19" s="16">
        <v>3795</v>
      </c>
      <c r="F19" s="6">
        <f t="shared" si="2"/>
        <v>2656.5</v>
      </c>
      <c r="G19" s="16">
        <f t="shared" si="0"/>
        <v>3040</v>
      </c>
      <c r="H19" s="16">
        <f t="shared" si="3"/>
        <v>2462.66</v>
      </c>
      <c r="I19" s="16">
        <f t="shared" si="4"/>
        <v>4480</v>
      </c>
      <c r="J19" s="16">
        <f t="shared" si="5"/>
        <v>3140</v>
      </c>
      <c r="K19" s="16">
        <f t="shared" si="7"/>
        <v>3580</v>
      </c>
      <c r="L19" s="17">
        <f t="shared" si="8"/>
        <v>0.21437982307547526</v>
      </c>
      <c r="M19" s="17">
        <f t="shared" si="9"/>
        <v>0.31348684210526317</v>
      </c>
    </row>
    <row r="20" spans="1:13" ht="32" x14ac:dyDescent="0.2">
      <c r="A20" s="13" t="s">
        <v>55</v>
      </c>
      <c r="B20" s="1" t="s">
        <v>54</v>
      </c>
      <c r="C20">
        <v>85182200</v>
      </c>
      <c r="D20" s="16">
        <v>8412</v>
      </c>
      <c r="E20" s="16">
        <v>15295</v>
      </c>
      <c r="F20" s="6">
        <f t="shared" si="2"/>
        <v>10706.5</v>
      </c>
      <c r="G20" s="16">
        <f t="shared" si="0"/>
        <v>12240</v>
      </c>
      <c r="H20" s="16">
        <f t="shared" si="3"/>
        <v>9926.16</v>
      </c>
      <c r="I20" s="16">
        <f t="shared" si="4"/>
        <v>18050</v>
      </c>
      <c r="J20" s="16">
        <f t="shared" si="5"/>
        <v>12640</v>
      </c>
      <c r="K20" s="16">
        <f t="shared" si="7"/>
        <v>14440</v>
      </c>
      <c r="L20" s="17">
        <f t="shared" si="8"/>
        <v>0.21430906458693316</v>
      </c>
      <c r="M20" s="17">
        <f t="shared" si="9"/>
        <v>0.31274509803921569</v>
      </c>
    </row>
    <row r="21" spans="1:13" ht="32" x14ac:dyDescent="0.2">
      <c r="A21" s="13" t="s">
        <v>22</v>
      </c>
      <c r="B21" s="1" t="s">
        <v>23</v>
      </c>
      <c r="C21">
        <v>85182200</v>
      </c>
      <c r="D21" s="16">
        <v>7400</v>
      </c>
      <c r="E21" s="16">
        <v>13455</v>
      </c>
      <c r="F21" s="6">
        <f t="shared" si="2"/>
        <v>9418.5</v>
      </c>
      <c r="G21" s="16">
        <f t="shared" si="0"/>
        <v>10760</v>
      </c>
      <c r="H21" s="16">
        <f t="shared" si="3"/>
        <v>8732</v>
      </c>
      <c r="I21" s="16">
        <f t="shared" si="4"/>
        <v>15880</v>
      </c>
      <c r="J21" s="16">
        <f t="shared" si="5"/>
        <v>11120</v>
      </c>
      <c r="K21" s="16">
        <f t="shared" si="7"/>
        <v>12700</v>
      </c>
      <c r="L21" s="17">
        <f t="shared" si="8"/>
        <v>0.21431225779051866</v>
      </c>
      <c r="M21" s="17">
        <f t="shared" si="9"/>
        <v>0.31226765799256506</v>
      </c>
    </row>
    <row r="22" spans="1:13" ht="33" thickBot="1" x14ac:dyDescent="0.25">
      <c r="A22" s="14" t="s">
        <v>24</v>
      </c>
      <c r="B22" s="1" t="s">
        <v>25</v>
      </c>
      <c r="C22">
        <v>85182200</v>
      </c>
      <c r="D22" s="16">
        <v>8792</v>
      </c>
      <c r="E22" s="16">
        <v>15985</v>
      </c>
      <c r="F22" s="6">
        <f t="shared" si="2"/>
        <v>11189.5</v>
      </c>
      <c r="G22" s="16">
        <f t="shared" si="0"/>
        <v>12790</v>
      </c>
      <c r="H22" s="16">
        <f t="shared" si="3"/>
        <v>10374.56</v>
      </c>
      <c r="I22" s="16">
        <f t="shared" si="4"/>
        <v>18860</v>
      </c>
      <c r="J22" s="16">
        <f t="shared" si="5"/>
        <v>13200</v>
      </c>
      <c r="K22" s="16">
        <f t="shared" si="7"/>
        <v>15090</v>
      </c>
      <c r="L22" s="17">
        <f t="shared" si="8"/>
        <v>0.21426337191116671</v>
      </c>
      <c r="M22" s="17">
        <f t="shared" si="9"/>
        <v>0.31258795934323691</v>
      </c>
    </row>
    <row r="23" spans="1:13" ht="17" thickBot="1" x14ac:dyDescent="0.25">
      <c r="A23" s="10" t="s">
        <v>61</v>
      </c>
      <c r="B23" s="8"/>
      <c r="D23" s="16">
        <v>0</v>
      </c>
      <c r="E23" s="16">
        <v>0</v>
      </c>
      <c r="F23" s="6">
        <f t="shared" si="2"/>
        <v>0</v>
      </c>
      <c r="G23" s="16">
        <f t="shared" si="0"/>
        <v>0</v>
      </c>
      <c r="H23" s="16">
        <f t="shared" si="3"/>
        <v>0</v>
      </c>
      <c r="I23" s="16">
        <f t="shared" si="4"/>
        <v>0</v>
      </c>
      <c r="J23" s="16">
        <f t="shared" si="5"/>
        <v>0</v>
      </c>
      <c r="K23" s="16">
        <f t="shared" si="7"/>
        <v>0</v>
      </c>
      <c r="L23" s="17"/>
      <c r="M23" s="17"/>
    </row>
    <row r="24" spans="1:13" ht="16" x14ac:dyDescent="0.2">
      <c r="A24" s="15" t="s">
        <v>62</v>
      </c>
      <c r="B24" s="1"/>
      <c r="C24">
        <v>85182200</v>
      </c>
      <c r="D24" s="16">
        <v>6414</v>
      </c>
      <c r="E24" s="16">
        <v>11661</v>
      </c>
      <c r="F24" s="6">
        <f t="shared" si="2"/>
        <v>8162.7000000000007</v>
      </c>
      <c r="G24" s="16">
        <f t="shared" si="0"/>
        <v>9330</v>
      </c>
      <c r="H24" s="16">
        <f t="shared" si="3"/>
        <v>7568.5199999999995</v>
      </c>
      <c r="I24" s="16">
        <f t="shared" si="4"/>
        <v>13760</v>
      </c>
      <c r="J24" s="16">
        <f t="shared" si="5"/>
        <v>9630</v>
      </c>
      <c r="K24" s="16">
        <f t="shared" si="7"/>
        <v>11010</v>
      </c>
      <c r="L24" s="17">
        <f>((F24-D24)/F24)</f>
        <v>0.21423058546804374</v>
      </c>
      <c r="M24" s="17">
        <f>((G24-D24)/G24)</f>
        <v>0.31254019292604501</v>
      </c>
    </row>
    <row r="25" spans="1:13" ht="17" thickBot="1" x14ac:dyDescent="0.25">
      <c r="A25" s="14" t="s">
        <v>63</v>
      </c>
      <c r="B25" s="1"/>
      <c r="C25">
        <v>85182200</v>
      </c>
      <c r="D25" s="16">
        <v>7046</v>
      </c>
      <c r="E25" s="16">
        <v>12811</v>
      </c>
      <c r="F25" s="6">
        <f t="shared" si="2"/>
        <v>8967.7000000000007</v>
      </c>
      <c r="G25" s="16">
        <f t="shared" si="0"/>
        <v>10250</v>
      </c>
      <c r="H25" s="16">
        <f t="shared" si="3"/>
        <v>8314.2799999999988</v>
      </c>
      <c r="I25" s="16">
        <f t="shared" si="4"/>
        <v>15120</v>
      </c>
      <c r="J25" s="16">
        <f t="shared" si="5"/>
        <v>10580</v>
      </c>
      <c r="K25" s="16">
        <f t="shared" si="7"/>
        <v>12100</v>
      </c>
      <c r="L25" s="17">
        <f>((F25-D25)/F25)</f>
        <v>0.21429128985135548</v>
      </c>
      <c r="M25" s="17">
        <f>((G25-D25)/G25)</f>
        <v>0.31258536585365854</v>
      </c>
    </row>
    <row r="26" spans="1:13" ht="17" thickBot="1" x14ac:dyDescent="0.25">
      <c r="A26" s="10" t="s">
        <v>26</v>
      </c>
      <c r="B26" s="8"/>
      <c r="C26" s="44"/>
      <c r="D26" s="16">
        <v>0</v>
      </c>
      <c r="E26" s="16">
        <v>0</v>
      </c>
      <c r="F26" s="6">
        <f t="shared" si="2"/>
        <v>0</v>
      </c>
      <c r="G26" s="16">
        <f t="shared" si="0"/>
        <v>0</v>
      </c>
      <c r="H26" s="16">
        <f t="shared" si="3"/>
        <v>0</v>
      </c>
      <c r="I26" s="16">
        <f t="shared" si="4"/>
        <v>0</v>
      </c>
      <c r="J26" s="16">
        <f t="shared" si="5"/>
        <v>0</v>
      </c>
      <c r="K26" s="16">
        <f t="shared" si="7"/>
        <v>0</v>
      </c>
      <c r="L26" s="17"/>
      <c r="M26" s="17"/>
    </row>
    <row r="27" spans="1:13" ht="16" x14ac:dyDescent="0.2">
      <c r="A27" s="15" t="s">
        <v>27</v>
      </c>
      <c r="B27" s="1" t="s">
        <v>28</v>
      </c>
      <c r="C27">
        <v>85182900</v>
      </c>
      <c r="D27" s="16">
        <v>6325</v>
      </c>
      <c r="E27" s="16">
        <v>11500</v>
      </c>
      <c r="F27" s="6">
        <f t="shared" si="2"/>
        <v>8050</v>
      </c>
      <c r="G27" s="16">
        <f t="shared" si="0"/>
        <v>9200</v>
      </c>
      <c r="H27" s="16">
        <f t="shared" si="3"/>
        <v>7463.5</v>
      </c>
      <c r="I27" s="16">
        <f t="shared" si="4"/>
        <v>13570</v>
      </c>
      <c r="J27" s="16">
        <f t="shared" si="5"/>
        <v>9500</v>
      </c>
      <c r="K27" s="16">
        <f t="shared" si="7"/>
        <v>10860</v>
      </c>
      <c r="L27" s="17">
        <f>((F27-D27)/F27)</f>
        <v>0.21428571428571427</v>
      </c>
      <c r="M27" s="17">
        <f>((G27-D27)/G27)</f>
        <v>0.3125</v>
      </c>
    </row>
    <row r="28" spans="1:13" ht="16" x14ac:dyDescent="0.2">
      <c r="A28" s="13" t="s">
        <v>30</v>
      </c>
      <c r="B28" s="1" t="s">
        <v>29</v>
      </c>
      <c r="C28">
        <v>85182900</v>
      </c>
      <c r="D28" s="16">
        <v>13915</v>
      </c>
      <c r="E28" s="16">
        <v>25300</v>
      </c>
      <c r="F28" s="6">
        <f t="shared" si="2"/>
        <v>17710</v>
      </c>
      <c r="G28" s="16">
        <f t="shared" si="0"/>
        <v>20240</v>
      </c>
      <c r="H28" s="16">
        <f t="shared" si="3"/>
        <v>16419.7</v>
      </c>
      <c r="I28" s="16">
        <f t="shared" si="4"/>
        <v>29850</v>
      </c>
      <c r="J28" s="16">
        <f t="shared" si="5"/>
        <v>20900</v>
      </c>
      <c r="K28" s="16">
        <f t="shared" si="7"/>
        <v>23880</v>
      </c>
      <c r="L28" s="17">
        <f>((F28-D28)/F28)</f>
        <v>0.21428571428571427</v>
      </c>
      <c r="M28" s="17">
        <f>((G28-D28)/G28)</f>
        <v>0.3125</v>
      </c>
    </row>
    <row r="29" spans="1:13" ht="16" x14ac:dyDescent="0.2">
      <c r="A29" s="13" t="s">
        <v>31</v>
      </c>
      <c r="B29" s="1" t="s">
        <v>32</v>
      </c>
      <c r="C29">
        <v>85182900</v>
      </c>
      <c r="D29" s="16">
        <v>12574</v>
      </c>
      <c r="E29" s="16">
        <v>22862</v>
      </c>
      <c r="F29" s="6">
        <f t="shared" si="2"/>
        <v>16003.400000000001</v>
      </c>
      <c r="G29" s="16">
        <f t="shared" si="0"/>
        <v>18290</v>
      </c>
      <c r="H29" s="16">
        <f t="shared" si="3"/>
        <v>14837.32</v>
      </c>
      <c r="I29" s="16">
        <f t="shared" si="4"/>
        <v>26980</v>
      </c>
      <c r="J29" s="16">
        <f t="shared" si="5"/>
        <v>18890</v>
      </c>
      <c r="K29" s="16">
        <f t="shared" si="7"/>
        <v>21580</v>
      </c>
      <c r="L29" s="17">
        <f>((F29-D29)/F29)</f>
        <v>0.21429196295787153</v>
      </c>
      <c r="M29" s="17">
        <f>((G29-D29)/G29)</f>
        <v>0.31252050300710771</v>
      </c>
    </row>
    <row r="30" spans="1:13" ht="17" thickBot="1" x14ac:dyDescent="0.25">
      <c r="A30" s="14" t="s">
        <v>33</v>
      </c>
      <c r="B30" s="1" t="s">
        <v>34</v>
      </c>
      <c r="C30">
        <v>85182900</v>
      </c>
      <c r="D30" s="16">
        <v>29095</v>
      </c>
      <c r="E30" s="16">
        <v>52900</v>
      </c>
      <c r="F30" s="6">
        <f t="shared" si="2"/>
        <v>37030</v>
      </c>
      <c r="G30" s="16">
        <f t="shared" si="0"/>
        <v>42320</v>
      </c>
      <c r="H30" s="16">
        <f t="shared" si="3"/>
        <v>34332.1</v>
      </c>
      <c r="I30" s="16">
        <f t="shared" si="4"/>
        <v>62420</v>
      </c>
      <c r="J30" s="16">
        <f t="shared" si="5"/>
        <v>43690</v>
      </c>
      <c r="K30" s="16">
        <f t="shared" si="7"/>
        <v>49940</v>
      </c>
      <c r="L30" s="17">
        <f>((F30-D30)/F30)</f>
        <v>0.21428571428571427</v>
      </c>
      <c r="M30" s="17">
        <f>((G30-D30)/G30)</f>
        <v>0.3125</v>
      </c>
    </row>
    <row r="31" spans="1:13" ht="17" thickBot="1" x14ac:dyDescent="0.25">
      <c r="A31" s="10" t="s">
        <v>35</v>
      </c>
      <c r="B31" s="8"/>
      <c r="C31">
        <v>85182900</v>
      </c>
      <c r="D31" s="16">
        <v>0</v>
      </c>
      <c r="E31" s="16">
        <v>0</v>
      </c>
      <c r="F31" s="6">
        <f t="shared" si="2"/>
        <v>0</v>
      </c>
      <c r="G31" s="16">
        <f t="shared" si="0"/>
        <v>0</v>
      </c>
      <c r="H31" s="16">
        <f t="shared" si="3"/>
        <v>0</v>
      </c>
      <c r="I31" s="16">
        <f t="shared" si="4"/>
        <v>0</v>
      </c>
      <c r="J31" s="16">
        <f t="shared" si="5"/>
        <v>0</v>
      </c>
      <c r="K31" s="16">
        <f t="shared" si="7"/>
        <v>0</v>
      </c>
      <c r="L31" s="17"/>
      <c r="M31" s="17"/>
    </row>
    <row r="32" spans="1:13" ht="16" x14ac:dyDescent="0.2">
      <c r="A32" s="15" t="s">
        <v>36</v>
      </c>
      <c r="B32" s="1" t="s">
        <v>37</v>
      </c>
      <c r="C32" s="44"/>
      <c r="D32" s="16">
        <v>13789</v>
      </c>
      <c r="E32" s="16">
        <v>25070</v>
      </c>
      <c r="F32" s="6">
        <f t="shared" si="2"/>
        <v>17549</v>
      </c>
      <c r="G32" s="16">
        <f t="shared" si="0"/>
        <v>20060</v>
      </c>
      <c r="H32" s="16">
        <f t="shared" si="3"/>
        <v>16271.019999999999</v>
      </c>
      <c r="I32" s="16">
        <f t="shared" si="4"/>
        <v>29580</v>
      </c>
      <c r="J32" s="16">
        <f t="shared" si="5"/>
        <v>20710</v>
      </c>
      <c r="K32" s="16">
        <f t="shared" si="7"/>
        <v>23660</v>
      </c>
      <c r="L32" s="17">
        <f t="shared" ref="L32:L43" si="10">((F32-D32)/F32)</f>
        <v>0.21425722263376831</v>
      </c>
      <c r="M32" s="17">
        <f t="shared" ref="M32:M43" si="11">((G32-D32)/G32)</f>
        <v>0.31261216350947157</v>
      </c>
    </row>
    <row r="33" spans="1:13" ht="32" x14ac:dyDescent="0.2">
      <c r="A33" s="13" t="s">
        <v>38</v>
      </c>
      <c r="B33" s="1" t="s">
        <v>39</v>
      </c>
      <c r="C33">
        <v>85184000</v>
      </c>
      <c r="D33" s="16">
        <v>15496</v>
      </c>
      <c r="E33" s="16">
        <v>28175</v>
      </c>
      <c r="F33" s="6">
        <f t="shared" si="2"/>
        <v>19722.5</v>
      </c>
      <c r="G33" s="16">
        <f t="shared" si="0"/>
        <v>22540</v>
      </c>
      <c r="H33" s="16">
        <f t="shared" si="3"/>
        <v>18285.28</v>
      </c>
      <c r="I33" s="16">
        <f t="shared" si="4"/>
        <v>33250</v>
      </c>
      <c r="J33" s="16">
        <f t="shared" si="5"/>
        <v>23280</v>
      </c>
      <c r="K33" s="16">
        <f t="shared" si="7"/>
        <v>26600</v>
      </c>
      <c r="L33" s="17">
        <f t="shared" si="10"/>
        <v>0.21429839016351881</v>
      </c>
      <c r="M33" s="17">
        <f t="shared" si="11"/>
        <v>0.31251109139307898</v>
      </c>
    </row>
    <row r="34" spans="1:13" ht="32" x14ac:dyDescent="0.2">
      <c r="A34" s="13" t="s">
        <v>40</v>
      </c>
      <c r="B34" s="1" t="s">
        <v>41</v>
      </c>
      <c r="C34">
        <v>85184000</v>
      </c>
      <c r="D34" s="16">
        <v>12584</v>
      </c>
      <c r="E34" s="16">
        <v>22880</v>
      </c>
      <c r="F34" s="6">
        <f t="shared" si="2"/>
        <v>16016</v>
      </c>
      <c r="G34" s="16">
        <f t="shared" si="0"/>
        <v>18300</v>
      </c>
      <c r="H34" s="16">
        <f t="shared" si="3"/>
        <v>14849.119999999999</v>
      </c>
      <c r="I34" s="16">
        <f t="shared" si="4"/>
        <v>27000</v>
      </c>
      <c r="J34" s="16">
        <f t="shared" si="5"/>
        <v>18900</v>
      </c>
      <c r="K34" s="16">
        <f t="shared" si="7"/>
        <v>21600</v>
      </c>
      <c r="L34" s="17">
        <f t="shared" si="10"/>
        <v>0.21428571428571427</v>
      </c>
      <c r="M34" s="17">
        <f t="shared" si="11"/>
        <v>0.31234972677595629</v>
      </c>
    </row>
    <row r="35" spans="1:13" ht="32" x14ac:dyDescent="0.2">
      <c r="A35" s="13" t="s">
        <v>42</v>
      </c>
      <c r="B35" s="1" t="s">
        <v>43</v>
      </c>
      <c r="C35">
        <v>85184000</v>
      </c>
      <c r="D35" s="16">
        <v>9538</v>
      </c>
      <c r="E35" s="16">
        <v>17342</v>
      </c>
      <c r="F35" s="6">
        <f t="shared" si="2"/>
        <v>12139.400000000001</v>
      </c>
      <c r="G35" s="16">
        <f t="shared" si="0"/>
        <v>13870</v>
      </c>
      <c r="H35" s="16">
        <f t="shared" si="3"/>
        <v>11254.84</v>
      </c>
      <c r="I35" s="16">
        <f t="shared" si="4"/>
        <v>20460</v>
      </c>
      <c r="J35" s="16">
        <f t="shared" si="5"/>
        <v>14320</v>
      </c>
      <c r="K35" s="16">
        <f t="shared" si="7"/>
        <v>16370</v>
      </c>
      <c r="L35" s="17">
        <f t="shared" si="10"/>
        <v>0.21429395192513642</v>
      </c>
      <c r="M35" s="17">
        <f t="shared" si="11"/>
        <v>0.31232876712328766</v>
      </c>
    </row>
    <row r="36" spans="1:13" ht="16" x14ac:dyDescent="0.2">
      <c r="A36" s="13" t="s">
        <v>44</v>
      </c>
      <c r="B36" s="1" t="s">
        <v>45</v>
      </c>
      <c r="C36">
        <v>85184000</v>
      </c>
      <c r="D36" s="16">
        <v>13283</v>
      </c>
      <c r="E36" s="16">
        <v>24150</v>
      </c>
      <c r="F36" s="6">
        <f t="shared" si="2"/>
        <v>16905</v>
      </c>
      <c r="G36" s="16">
        <f t="shared" ref="G36:G90" si="12">ROUND((E36*0.8),-1)</f>
        <v>19320</v>
      </c>
      <c r="H36" s="16">
        <f t="shared" si="3"/>
        <v>15673.939999999999</v>
      </c>
      <c r="I36" s="16">
        <f t="shared" ref="I36:I90" si="13">ROUND(E36+(E36*0.18),-1)</f>
        <v>28500</v>
      </c>
      <c r="J36" s="16">
        <f t="shared" si="5"/>
        <v>19950</v>
      </c>
      <c r="K36" s="16">
        <f t="shared" si="7"/>
        <v>22800</v>
      </c>
      <c r="L36" s="17">
        <f t="shared" si="10"/>
        <v>0.2142561372375037</v>
      </c>
      <c r="M36" s="17">
        <f t="shared" si="11"/>
        <v>0.31247412008281572</v>
      </c>
    </row>
    <row r="37" spans="1:13" ht="32" x14ac:dyDescent="0.2">
      <c r="A37" s="13" t="s">
        <v>81</v>
      </c>
      <c r="B37" s="1" t="s">
        <v>82</v>
      </c>
      <c r="C37">
        <v>85184000</v>
      </c>
      <c r="D37" s="16">
        <v>15939</v>
      </c>
      <c r="E37" s="16">
        <v>28980</v>
      </c>
      <c r="F37" s="6">
        <f t="shared" si="2"/>
        <v>20286</v>
      </c>
      <c r="G37" s="16">
        <f t="shared" si="12"/>
        <v>23180</v>
      </c>
      <c r="H37" s="16">
        <f t="shared" si="3"/>
        <v>18808.02</v>
      </c>
      <c r="I37" s="16">
        <f t="shared" si="13"/>
        <v>34200</v>
      </c>
      <c r="J37" s="16">
        <f t="shared" si="5"/>
        <v>23940</v>
      </c>
      <c r="K37" s="16">
        <f t="shared" si="7"/>
        <v>27360</v>
      </c>
      <c r="L37" s="17">
        <f t="shared" si="10"/>
        <v>0.21428571428571427</v>
      </c>
      <c r="M37" s="17">
        <f t="shared" si="11"/>
        <v>0.31238136324417604</v>
      </c>
    </row>
    <row r="38" spans="1:13" ht="16" x14ac:dyDescent="0.2">
      <c r="A38" s="13" t="s">
        <v>72</v>
      </c>
      <c r="B38" s="1" t="s">
        <v>73</v>
      </c>
      <c r="C38">
        <v>85184000</v>
      </c>
      <c r="D38" s="16">
        <v>10310</v>
      </c>
      <c r="E38" s="16">
        <v>18745</v>
      </c>
      <c r="F38" s="6">
        <f t="shared" si="2"/>
        <v>13121.5</v>
      </c>
      <c r="G38" s="16">
        <f t="shared" si="12"/>
        <v>15000</v>
      </c>
      <c r="H38" s="16">
        <f t="shared" si="3"/>
        <v>12165.8</v>
      </c>
      <c r="I38" s="16">
        <f t="shared" si="13"/>
        <v>22120</v>
      </c>
      <c r="J38" s="16">
        <f t="shared" si="5"/>
        <v>15480</v>
      </c>
      <c r="K38" s="16">
        <f t="shared" si="7"/>
        <v>17700</v>
      </c>
      <c r="L38" s="17">
        <f t="shared" si="10"/>
        <v>0.21426666158594673</v>
      </c>
      <c r="M38" s="17">
        <f t="shared" si="11"/>
        <v>0.31266666666666665</v>
      </c>
    </row>
    <row r="39" spans="1:13" ht="16" x14ac:dyDescent="0.2">
      <c r="A39" s="13" t="s">
        <v>46</v>
      </c>
      <c r="B39" s="1" t="s">
        <v>47</v>
      </c>
      <c r="C39">
        <v>85184000</v>
      </c>
      <c r="D39" s="16">
        <v>14876</v>
      </c>
      <c r="E39" s="16">
        <v>27048</v>
      </c>
      <c r="F39" s="6">
        <f t="shared" si="2"/>
        <v>18933.599999999999</v>
      </c>
      <c r="G39" s="16">
        <f t="shared" si="12"/>
        <v>21640</v>
      </c>
      <c r="H39" s="16">
        <f t="shared" si="3"/>
        <v>17553.68</v>
      </c>
      <c r="I39" s="16">
        <f t="shared" si="13"/>
        <v>31920</v>
      </c>
      <c r="J39" s="16">
        <f t="shared" si="5"/>
        <v>22340</v>
      </c>
      <c r="K39" s="16">
        <f t="shared" si="7"/>
        <v>25540</v>
      </c>
      <c r="L39" s="17">
        <f t="shared" si="10"/>
        <v>0.21430684074872178</v>
      </c>
      <c r="M39" s="17">
        <f t="shared" si="11"/>
        <v>0.31256931608133087</v>
      </c>
    </row>
    <row r="40" spans="1:13" ht="16" x14ac:dyDescent="0.2">
      <c r="A40" s="13" t="s">
        <v>48</v>
      </c>
      <c r="B40" s="1" t="s">
        <v>49</v>
      </c>
      <c r="C40">
        <v>85184000</v>
      </c>
      <c r="D40" s="16">
        <v>21404</v>
      </c>
      <c r="E40" s="16">
        <v>38916</v>
      </c>
      <c r="F40" s="6">
        <f t="shared" si="2"/>
        <v>27241.200000000001</v>
      </c>
      <c r="G40" s="16">
        <f t="shared" si="12"/>
        <v>31130</v>
      </c>
      <c r="H40" s="16">
        <f t="shared" si="3"/>
        <v>25256.719999999998</v>
      </c>
      <c r="I40" s="16">
        <f t="shared" si="13"/>
        <v>45920</v>
      </c>
      <c r="J40" s="16">
        <f t="shared" si="5"/>
        <v>32140</v>
      </c>
      <c r="K40" s="16">
        <f t="shared" si="7"/>
        <v>36740</v>
      </c>
      <c r="L40" s="17">
        <f t="shared" si="10"/>
        <v>0.21427837246523651</v>
      </c>
      <c r="M40" s="17">
        <f t="shared" si="11"/>
        <v>0.31243173787343398</v>
      </c>
    </row>
    <row r="41" spans="1:13" ht="32" x14ac:dyDescent="0.2">
      <c r="A41" s="13" t="s">
        <v>74</v>
      </c>
      <c r="B41" s="1" t="s">
        <v>75</v>
      </c>
      <c r="C41">
        <v>85184000</v>
      </c>
      <c r="D41" s="16">
        <v>25174</v>
      </c>
      <c r="E41" s="16">
        <v>45770</v>
      </c>
      <c r="F41" s="6">
        <f t="shared" si="2"/>
        <v>32039</v>
      </c>
      <c r="G41" s="16">
        <f t="shared" si="12"/>
        <v>36620</v>
      </c>
      <c r="H41" s="16">
        <f t="shared" si="3"/>
        <v>29705.32</v>
      </c>
      <c r="I41" s="16">
        <f t="shared" si="13"/>
        <v>54010</v>
      </c>
      <c r="J41" s="16">
        <f t="shared" si="5"/>
        <v>37810</v>
      </c>
      <c r="K41" s="16">
        <f t="shared" si="7"/>
        <v>43210</v>
      </c>
      <c r="L41" s="17">
        <f t="shared" si="10"/>
        <v>0.21427010830550267</v>
      </c>
      <c r="M41" s="17">
        <f t="shared" si="11"/>
        <v>0.31256144183506279</v>
      </c>
    </row>
    <row r="42" spans="1:13" ht="16" x14ac:dyDescent="0.2">
      <c r="A42" s="13" t="s">
        <v>59</v>
      </c>
      <c r="B42" s="1" t="s">
        <v>60</v>
      </c>
      <c r="C42">
        <v>85184000</v>
      </c>
      <c r="D42" s="16">
        <v>66033</v>
      </c>
      <c r="E42" s="16">
        <v>120060</v>
      </c>
      <c r="F42" s="6">
        <f t="shared" si="2"/>
        <v>84042</v>
      </c>
      <c r="G42" s="16">
        <f t="shared" si="12"/>
        <v>96050</v>
      </c>
      <c r="H42" s="16">
        <f t="shared" si="3"/>
        <v>77918.94</v>
      </c>
      <c r="I42" s="16">
        <f t="shared" si="13"/>
        <v>141670</v>
      </c>
      <c r="J42" s="16">
        <f t="shared" si="5"/>
        <v>99170</v>
      </c>
      <c r="K42" s="16">
        <f t="shared" si="7"/>
        <v>113340</v>
      </c>
      <c r="L42" s="17">
        <f t="shared" si="10"/>
        <v>0.21428571428571427</v>
      </c>
      <c r="M42" s="17">
        <f t="shared" si="11"/>
        <v>0.31251431546069758</v>
      </c>
    </row>
    <row r="43" spans="1:13" ht="17" thickBot="1" x14ac:dyDescent="0.25">
      <c r="A43" s="14" t="s">
        <v>70</v>
      </c>
      <c r="B43" s="1" t="s">
        <v>71</v>
      </c>
      <c r="C43">
        <v>85184000</v>
      </c>
      <c r="D43" s="16">
        <v>7970</v>
      </c>
      <c r="E43" s="16">
        <v>14490</v>
      </c>
      <c r="F43" s="6">
        <f t="shared" si="2"/>
        <v>10143</v>
      </c>
      <c r="G43" s="16">
        <f t="shared" si="12"/>
        <v>11590</v>
      </c>
      <c r="H43" s="16">
        <f t="shared" si="3"/>
        <v>9404.6</v>
      </c>
      <c r="I43" s="16">
        <f t="shared" si="13"/>
        <v>17100</v>
      </c>
      <c r="J43" s="16">
        <f t="shared" si="5"/>
        <v>11970</v>
      </c>
      <c r="K43" s="16">
        <f t="shared" si="7"/>
        <v>13680</v>
      </c>
      <c r="L43" s="17">
        <f t="shared" si="10"/>
        <v>0.21423641920536329</v>
      </c>
      <c r="M43" s="17">
        <f t="shared" si="11"/>
        <v>0.31233822260569455</v>
      </c>
    </row>
    <row r="44" spans="1:13" ht="17" thickBot="1" x14ac:dyDescent="0.25">
      <c r="A44" s="10" t="s">
        <v>50</v>
      </c>
      <c r="B44" s="8"/>
      <c r="C44">
        <v>85184000</v>
      </c>
      <c r="D44" s="16">
        <v>0</v>
      </c>
      <c r="E44" s="16">
        <v>0</v>
      </c>
      <c r="F44" s="6">
        <f t="shared" si="2"/>
        <v>0</v>
      </c>
      <c r="G44" s="16">
        <f t="shared" si="12"/>
        <v>0</v>
      </c>
      <c r="H44" s="16">
        <f t="shared" si="3"/>
        <v>0</v>
      </c>
      <c r="I44" s="16">
        <f t="shared" si="13"/>
        <v>0</v>
      </c>
      <c r="J44" s="16">
        <f t="shared" si="5"/>
        <v>0</v>
      </c>
      <c r="K44" s="16">
        <f t="shared" si="7"/>
        <v>0</v>
      </c>
      <c r="L44" s="17"/>
      <c r="M44" s="17"/>
    </row>
    <row r="45" spans="1:13" ht="16" x14ac:dyDescent="0.2">
      <c r="A45" s="15" t="s">
        <v>51</v>
      </c>
      <c r="B45" s="1" t="s">
        <v>50</v>
      </c>
      <c r="C45" s="44"/>
      <c r="D45" s="16">
        <v>7590</v>
      </c>
      <c r="E45" s="16">
        <v>13800</v>
      </c>
      <c r="F45" s="6">
        <f t="shared" si="2"/>
        <v>9660</v>
      </c>
      <c r="G45" s="16">
        <f t="shared" si="12"/>
        <v>11040</v>
      </c>
      <c r="H45" s="16">
        <f t="shared" si="3"/>
        <v>8956.1999999999989</v>
      </c>
      <c r="I45" s="16">
        <f t="shared" si="13"/>
        <v>16280</v>
      </c>
      <c r="J45" s="16">
        <f t="shared" si="5"/>
        <v>11400</v>
      </c>
      <c r="K45" s="16">
        <f t="shared" si="7"/>
        <v>13020</v>
      </c>
      <c r="L45" s="17">
        <f>((F45-D45)/F45)</f>
        <v>0.21428571428571427</v>
      </c>
      <c r="M45" s="17">
        <f>((G45-D45)/G45)</f>
        <v>0.3125</v>
      </c>
    </row>
    <row r="46" spans="1:13" ht="16" thickBot="1" x14ac:dyDescent="0.25">
      <c r="A46" s="9"/>
      <c r="B46" s="1"/>
      <c r="C46" s="43"/>
      <c r="D46" s="16"/>
      <c r="E46" s="16"/>
      <c r="F46" s="6">
        <f t="shared" si="2"/>
        <v>0</v>
      </c>
      <c r="G46" s="16">
        <f t="shared" si="12"/>
        <v>0</v>
      </c>
      <c r="H46" s="16">
        <f t="shared" si="3"/>
        <v>0</v>
      </c>
      <c r="I46" s="16">
        <f t="shared" si="13"/>
        <v>0</v>
      </c>
      <c r="J46" s="16">
        <f t="shared" si="5"/>
        <v>0</v>
      </c>
      <c r="K46" s="16">
        <f t="shared" si="7"/>
        <v>0</v>
      </c>
      <c r="L46" s="17"/>
      <c r="M46" s="17"/>
    </row>
    <row r="47" spans="1:13" ht="17" thickBot="1" x14ac:dyDescent="0.25">
      <c r="A47" s="10" t="s">
        <v>64</v>
      </c>
      <c r="B47" s="8"/>
      <c r="C47" s="43"/>
      <c r="D47" s="16"/>
      <c r="E47" s="16"/>
      <c r="F47" s="6">
        <f t="shared" si="2"/>
        <v>0</v>
      </c>
      <c r="G47" s="16">
        <f t="shared" si="12"/>
        <v>0</v>
      </c>
      <c r="H47" s="16">
        <f t="shared" si="3"/>
        <v>0</v>
      </c>
      <c r="I47" s="16">
        <f t="shared" si="13"/>
        <v>0</v>
      </c>
      <c r="J47" s="16">
        <f t="shared" si="5"/>
        <v>0</v>
      </c>
      <c r="K47" s="16">
        <f t="shared" si="7"/>
        <v>0</v>
      </c>
      <c r="L47" s="17"/>
      <c r="M47" s="17"/>
    </row>
    <row r="48" spans="1:13" ht="16" x14ac:dyDescent="0.2">
      <c r="A48" s="15" t="s">
        <v>65</v>
      </c>
      <c r="B48" s="1"/>
      <c r="C48" s="44"/>
      <c r="D48" s="16">
        <v>9845</v>
      </c>
      <c r="E48" s="16">
        <v>17900</v>
      </c>
      <c r="F48" s="6">
        <f t="shared" si="2"/>
        <v>12530</v>
      </c>
      <c r="G48" s="16">
        <f t="shared" si="12"/>
        <v>14320</v>
      </c>
      <c r="H48" s="16">
        <f t="shared" si="3"/>
        <v>11617.099999999999</v>
      </c>
      <c r="I48" s="16">
        <f t="shared" si="13"/>
        <v>21120</v>
      </c>
      <c r="J48" s="16">
        <f t="shared" si="5"/>
        <v>14780</v>
      </c>
      <c r="K48" s="16">
        <f t="shared" si="7"/>
        <v>16900</v>
      </c>
      <c r="L48" s="17">
        <f>((F48-D48)/F48)</f>
        <v>0.21428571428571427</v>
      </c>
      <c r="M48" s="17">
        <f>((G48-D48)/G48)</f>
        <v>0.3125</v>
      </c>
    </row>
    <row r="49" spans="1:13" ht="16" x14ac:dyDescent="0.2">
      <c r="A49" s="37" t="s">
        <v>172</v>
      </c>
      <c r="B49" s="1"/>
      <c r="C49" s="43"/>
      <c r="D49" s="16">
        <v>3960</v>
      </c>
      <c r="E49" s="16">
        <v>7200</v>
      </c>
      <c r="F49" s="6">
        <f t="shared" si="2"/>
        <v>5040</v>
      </c>
      <c r="G49" s="16">
        <f t="shared" si="12"/>
        <v>5760</v>
      </c>
      <c r="H49" s="16">
        <f t="shared" si="3"/>
        <v>4672.8</v>
      </c>
      <c r="I49" s="16">
        <f t="shared" si="13"/>
        <v>8500</v>
      </c>
      <c r="J49" s="16">
        <f t="shared" si="5"/>
        <v>5950</v>
      </c>
      <c r="K49" s="16">
        <f t="shared" si="7"/>
        <v>6800</v>
      </c>
      <c r="L49" s="17">
        <f>((F49-D49)/F49)</f>
        <v>0.21428571428571427</v>
      </c>
      <c r="M49" s="17">
        <f>((G49-D49)/G49)</f>
        <v>0.3125</v>
      </c>
    </row>
    <row r="50" spans="1:13" ht="16" thickBot="1" x14ac:dyDescent="0.25">
      <c r="A50" s="11"/>
      <c r="B50" s="2"/>
      <c r="C50" s="43"/>
      <c r="D50" s="16"/>
      <c r="E50" s="16"/>
      <c r="F50" s="6">
        <f t="shared" si="2"/>
        <v>0</v>
      </c>
      <c r="G50" s="16">
        <f t="shared" si="12"/>
        <v>0</v>
      </c>
      <c r="H50" s="16">
        <f t="shared" si="3"/>
        <v>0</v>
      </c>
      <c r="I50" s="16">
        <f t="shared" si="13"/>
        <v>0</v>
      </c>
      <c r="J50" s="16">
        <f t="shared" si="5"/>
        <v>0</v>
      </c>
      <c r="K50" s="16">
        <f t="shared" si="7"/>
        <v>0</v>
      </c>
      <c r="L50" s="17"/>
      <c r="M50" s="17"/>
    </row>
    <row r="51" spans="1:13" ht="16" thickBot="1" x14ac:dyDescent="0.25">
      <c r="A51" s="21" t="s">
        <v>77</v>
      </c>
      <c r="B51" s="22"/>
      <c r="C51" s="45"/>
      <c r="D51" s="7"/>
      <c r="E51" s="7"/>
      <c r="F51" s="6">
        <f t="shared" si="2"/>
        <v>0</v>
      </c>
      <c r="G51" s="16">
        <f t="shared" si="12"/>
        <v>0</v>
      </c>
      <c r="H51" s="16">
        <f t="shared" si="3"/>
        <v>0</v>
      </c>
      <c r="I51" s="16">
        <f t="shared" si="13"/>
        <v>0</v>
      </c>
      <c r="J51" s="16">
        <f t="shared" si="5"/>
        <v>0</v>
      </c>
      <c r="K51" s="16">
        <f t="shared" si="7"/>
        <v>0</v>
      </c>
      <c r="L51" s="17"/>
      <c r="M51" s="17"/>
    </row>
    <row r="52" spans="1:13" ht="16" thickBot="1" x14ac:dyDescent="0.25">
      <c r="A52" s="23" t="s">
        <v>78</v>
      </c>
      <c r="B52" s="2" t="s">
        <v>79</v>
      </c>
      <c r="C52" s="46"/>
      <c r="D52" s="7">
        <v>7480</v>
      </c>
      <c r="E52" s="7">
        <v>13600</v>
      </c>
      <c r="F52" s="6">
        <f t="shared" si="2"/>
        <v>9520</v>
      </c>
      <c r="G52" s="16">
        <f t="shared" si="12"/>
        <v>10880</v>
      </c>
      <c r="H52" s="16">
        <f t="shared" si="3"/>
        <v>8826.4</v>
      </c>
      <c r="I52" s="16">
        <f t="shared" si="13"/>
        <v>16050</v>
      </c>
      <c r="J52" s="16">
        <f t="shared" si="5"/>
        <v>11240</v>
      </c>
      <c r="K52" s="16">
        <f t="shared" si="7"/>
        <v>12840</v>
      </c>
      <c r="L52" s="17">
        <f>((F52-D52)/F52)</f>
        <v>0.21428571428571427</v>
      </c>
      <c r="M52" s="17">
        <f>((G52-D52)/G52)</f>
        <v>0.3125</v>
      </c>
    </row>
    <row r="53" spans="1:13" x14ac:dyDescent="0.2">
      <c r="A53" s="33" t="s">
        <v>100</v>
      </c>
      <c r="B53" s="2"/>
      <c r="C53" s="46"/>
      <c r="D53" s="32"/>
      <c r="E53" s="32"/>
      <c r="F53" s="6">
        <f t="shared" si="2"/>
        <v>0</v>
      </c>
      <c r="G53" s="16">
        <f t="shared" si="12"/>
        <v>0</v>
      </c>
      <c r="H53" s="16">
        <f t="shared" si="3"/>
        <v>0</v>
      </c>
      <c r="I53" s="16">
        <f t="shared" si="13"/>
        <v>0</v>
      </c>
      <c r="J53" s="16">
        <f t="shared" si="5"/>
        <v>0</v>
      </c>
      <c r="K53" s="16">
        <f t="shared" si="7"/>
        <v>0</v>
      </c>
      <c r="L53" s="17"/>
      <c r="M53" s="17"/>
    </row>
    <row r="54" spans="1:13" x14ac:dyDescent="0.2">
      <c r="A54" s="29" t="s">
        <v>101</v>
      </c>
      <c r="B54" s="2"/>
      <c r="C54" s="46"/>
      <c r="D54" s="6"/>
      <c r="E54" s="32"/>
      <c r="F54" s="6">
        <f t="shared" si="2"/>
        <v>0</v>
      </c>
      <c r="G54" s="16">
        <f t="shared" si="12"/>
        <v>0</v>
      </c>
      <c r="H54" s="16">
        <f t="shared" si="3"/>
        <v>0</v>
      </c>
      <c r="I54" s="16">
        <f t="shared" si="13"/>
        <v>0</v>
      </c>
      <c r="J54" s="16">
        <f t="shared" si="5"/>
        <v>0</v>
      </c>
      <c r="K54" s="16">
        <f t="shared" si="7"/>
        <v>0</v>
      </c>
      <c r="L54" s="17"/>
      <c r="M54" s="17"/>
    </row>
    <row r="55" spans="1:13" x14ac:dyDescent="0.2">
      <c r="A55" s="2" t="s">
        <v>102</v>
      </c>
      <c r="B55" s="2" t="s">
        <v>103</v>
      </c>
      <c r="C55" s="46"/>
      <c r="D55" s="6">
        <v>15983</v>
      </c>
      <c r="E55" s="6">
        <v>29061</v>
      </c>
      <c r="F55" s="6">
        <f t="shared" si="2"/>
        <v>20342.7</v>
      </c>
      <c r="G55" s="16">
        <f t="shared" si="12"/>
        <v>23250</v>
      </c>
      <c r="H55" s="16">
        <f t="shared" si="3"/>
        <v>18859.939999999999</v>
      </c>
      <c r="I55" s="16">
        <f t="shared" si="13"/>
        <v>34290</v>
      </c>
      <c r="J55" s="16">
        <f t="shared" si="5"/>
        <v>24000</v>
      </c>
      <c r="K55" s="16">
        <f t="shared" si="7"/>
        <v>27430</v>
      </c>
      <c r="L55" s="17">
        <f>((F55-D55)/F55)</f>
        <v>0.21431275101141936</v>
      </c>
      <c r="M55" s="17">
        <f>((G55-D55)/G55)</f>
        <v>0.31255913978494626</v>
      </c>
    </row>
    <row r="56" spans="1:13" ht="16" thickBot="1" x14ac:dyDescent="0.25">
      <c r="A56" s="2" t="s">
        <v>104</v>
      </c>
      <c r="B56" s="2" t="s">
        <v>105</v>
      </c>
      <c r="C56" s="45"/>
      <c r="D56" s="6">
        <v>22958</v>
      </c>
      <c r="E56" s="7">
        <v>41743</v>
      </c>
      <c r="F56" s="6">
        <f t="shared" si="2"/>
        <v>29220.1</v>
      </c>
      <c r="G56" s="16">
        <f t="shared" si="12"/>
        <v>33390</v>
      </c>
      <c r="H56" s="16">
        <f t="shared" si="3"/>
        <v>27090.44</v>
      </c>
      <c r="I56" s="16">
        <f t="shared" si="13"/>
        <v>49260</v>
      </c>
      <c r="J56" s="16">
        <f t="shared" si="5"/>
        <v>34480</v>
      </c>
      <c r="K56" s="16">
        <f t="shared" si="7"/>
        <v>39410</v>
      </c>
      <c r="L56" s="17">
        <f>((F56-D56)/F56)</f>
        <v>0.21430795924723045</v>
      </c>
      <c r="M56" s="17">
        <f>((G56-D56)/G56)</f>
        <v>0.31242887091943694</v>
      </c>
    </row>
    <row r="57" spans="1:13" x14ac:dyDescent="0.2">
      <c r="A57" s="29" t="s">
        <v>106</v>
      </c>
      <c r="B57" s="2"/>
      <c r="C57" s="46"/>
      <c r="D57" s="6">
        <v>0</v>
      </c>
      <c r="E57" s="6"/>
      <c r="F57" s="6">
        <f t="shared" si="2"/>
        <v>0</v>
      </c>
      <c r="G57" s="16">
        <f t="shared" si="12"/>
        <v>0</v>
      </c>
      <c r="H57" s="16">
        <f t="shared" si="3"/>
        <v>0</v>
      </c>
      <c r="I57" s="16">
        <f t="shared" si="13"/>
        <v>0</v>
      </c>
      <c r="J57" s="16">
        <f t="shared" si="5"/>
        <v>0</v>
      </c>
      <c r="K57" s="16">
        <f t="shared" si="7"/>
        <v>0</v>
      </c>
      <c r="L57" s="17"/>
      <c r="M57" s="17"/>
    </row>
    <row r="58" spans="1:13" x14ac:dyDescent="0.2">
      <c r="A58" s="34" t="s">
        <v>107</v>
      </c>
      <c r="B58" s="2" t="s">
        <v>108</v>
      </c>
      <c r="C58" s="46"/>
      <c r="D58" s="6">
        <v>18089.5</v>
      </c>
      <c r="E58" s="6">
        <v>32890</v>
      </c>
      <c r="F58" s="6">
        <f t="shared" si="2"/>
        <v>23023</v>
      </c>
      <c r="G58" s="16">
        <f t="shared" si="12"/>
        <v>26310</v>
      </c>
      <c r="H58" s="16">
        <f t="shared" si="3"/>
        <v>21345.61</v>
      </c>
      <c r="I58" s="16">
        <f t="shared" si="13"/>
        <v>38810</v>
      </c>
      <c r="J58" s="16">
        <f t="shared" si="5"/>
        <v>27170</v>
      </c>
      <c r="K58" s="16">
        <f t="shared" si="7"/>
        <v>31050</v>
      </c>
      <c r="L58" s="17">
        <f>((F58-D58)/F58)</f>
        <v>0.21428571428571427</v>
      </c>
      <c r="M58" s="17">
        <f>((G58-D58)/G58)</f>
        <v>0.31244773850247054</v>
      </c>
    </row>
    <row r="59" spans="1:13" x14ac:dyDescent="0.2">
      <c r="A59" s="2" t="s">
        <v>109</v>
      </c>
      <c r="B59" s="2" t="s">
        <v>110</v>
      </c>
      <c r="C59" s="46"/>
      <c r="D59" s="6">
        <v>25954.500000000004</v>
      </c>
      <c r="E59" s="6">
        <v>47190</v>
      </c>
      <c r="F59" s="6">
        <f t="shared" si="2"/>
        <v>33033</v>
      </c>
      <c r="G59" s="16">
        <f t="shared" si="12"/>
        <v>37750</v>
      </c>
      <c r="H59" s="16">
        <f t="shared" si="3"/>
        <v>30626.31</v>
      </c>
      <c r="I59" s="16">
        <f t="shared" si="13"/>
        <v>55680</v>
      </c>
      <c r="J59" s="16">
        <f t="shared" si="5"/>
        <v>38980</v>
      </c>
      <c r="K59" s="16">
        <f t="shared" si="7"/>
        <v>44540</v>
      </c>
      <c r="L59" s="17">
        <f>((F59-D59)/F59)</f>
        <v>0.21428571428571416</v>
      </c>
      <c r="M59" s="17">
        <f>((G59-D59)/G59)</f>
        <v>0.31246357615894033</v>
      </c>
    </row>
    <row r="60" spans="1:13" x14ac:dyDescent="0.2">
      <c r="A60" s="2" t="s">
        <v>111</v>
      </c>
      <c r="B60" s="2" t="s">
        <v>112</v>
      </c>
      <c r="C60" s="46"/>
      <c r="D60" s="6">
        <v>31790.000000000004</v>
      </c>
      <c r="E60" s="6">
        <v>57800</v>
      </c>
      <c r="F60" s="6">
        <f t="shared" si="2"/>
        <v>40460</v>
      </c>
      <c r="G60" s="16">
        <f t="shared" si="12"/>
        <v>46240</v>
      </c>
      <c r="H60" s="16">
        <f t="shared" si="3"/>
        <v>37512.200000000004</v>
      </c>
      <c r="I60" s="16">
        <f t="shared" si="13"/>
        <v>68200</v>
      </c>
      <c r="J60" s="16">
        <f t="shared" si="5"/>
        <v>47740</v>
      </c>
      <c r="K60" s="16">
        <f t="shared" si="7"/>
        <v>54560</v>
      </c>
      <c r="L60" s="17">
        <f>((F60-D60)/F60)</f>
        <v>0.21428571428571419</v>
      </c>
      <c r="M60" s="17">
        <f>((G60-D60)/G60)</f>
        <v>0.31249999999999994</v>
      </c>
    </row>
    <row r="61" spans="1:13" x14ac:dyDescent="0.2">
      <c r="A61" s="2" t="s">
        <v>113</v>
      </c>
      <c r="B61" s="2" t="s">
        <v>114</v>
      </c>
      <c r="C61" s="46"/>
      <c r="D61" s="6">
        <v>35392.5</v>
      </c>
      <c r="E61" s="6">
        <v>64350</v>
      </c>
      <c r="F61" s="6">
        <f t="shared" si="2"/>
        <v>45045</v>
      </c>
      <c r="G61" s="16">
        <f t="shared" si="12"/>
        <v>51480</v>
      </c>
      <c r="H61" s="16">
        <f t="shared" si="3"/>
        <v>41763.149999999994</v>
      </c>
      <c r="I61" s="16">
        <f t="shared" si="13"/>
        <v>75930</v>
      </c>
      <c r="J61" s="16">
        <f t="shared" si="5"/>
        <v>53150</v>
      </c>
      <c r="K61" s="16">
        <f t="shared" si="7"/>
        <v>60740</v>
      </c>
      <c r="L61" s="17">
        <f>((F61-D61)/F61)</f>
        <v>0.21428571428571427</v>
      </c>
      <c r="M61" s="17">
        <f>((G61-D61)/G61)</f>
        <v>0.3125</v>
      </c>
    </row>
    <row r="62" spans="1:13" x14ac:dyDescent="0.2">
      <c r="A62" s="2" t="s">
        <v>115</v>
      </c>
      <c r="B62" s="2" t="s">
        <v>116</v>
      </c>
      <c r="C62" s="46"/>
      <c r="D62" s="6">
        <v>62920.000000000007</v>
      </c>
      <c r="E62" s="6">
        <v>114400</v>
      </c>
      <c r="F62" s="6">
        <f t="shared" si="2"/>
        <v>80080</v>
      </c>
      <c r="G62" s="16">
        <f t="shared" si="12"/>
        <v>91520</v>
      </c>
      <c r="H62" s="16">
        <f t="shared" si="3"/>
        <v>74245.600000000006</v>
      </c>
      <c r="I62" s="16">
        <f t="shared" si="13"/>
        <v>134990</v>
      </c>
      <c r="J62" s="16">
        <f t="shared" si="5"/>
        <v>94490</v>
      </c>
      <c r="K62" s="16">
        <f t="shared" si="7"/>
        <v>107990</v>
      </c>
      <c r="L62" s="17">
        <f>((F62-D62)/F62)</f>
        <v>0.21428571428571419</v>
      </c>
      <c r="M62" s="17">
        <f>((G62-D62)/G62)</f>
        <v>0.31249999999999994</v>
      </c>
    </row>
    <row r="63" spans="1:13" x14ac:dyDescent="0.2">
      <c r="A63" s="29" t="s">
        <v>117</v>
      </c>
      <c r="B63" s="2"/>
      <c r="C63" s="46"/>
      <c r="D63" s="6">
        <v>0</v>
      </c>
      <c r="E63" s="6"/>
      <c r="F63" s="6">
        <f t="shared" ref="F63:F90" si="14">E63-(E63*0.3)</f>
        <v>0</v>
      </c>
      <c r="G63" s="16">
        <f t="shared" si="12"/>
        <v>0</v>
      </c>
      <c r="H63" s="16">
        <f t="shared" si="3"/>
        <v>0</v>
      </c>
      <c r="I63" s="16">
        <f t="shared" si="13"/>
        <v>0</v>
      </c>
      <c r="J63" s="16">
        <f t="shared" si="5"/>
        <v>0</v>
      </c>
      <c r="K63" s="16">
        <f t="shared" si="7"/>
        <v>0</v>
      </c>
      <c r="L63" s="17"/>
      <c r="M63" s="17"/>
    </row>
    <row r="64" spans="1:13" x14ac:dyDescent="0.2">
      <c r="A64" s="2" t="s">
        <v>118</v>
      </c>
      <c r="B64" s="2" t="s">
        <v>108</v>
      </c>
      <c r="C64" s="46"/>
      <c r="D64" s="6">
        <v>29359.000000000004</v>
      </c>
      <c r="E64" s="6">
        <v>53380</v>
      </c>
      <c r="F64" s="6">
        <f t="shared" si="14"/>
        <v>37366</v>
      </c>
      <c r="G64" s="16">
        <f t="shared" si="12"/>
        <v>42700</v>
      </c>
      <c r="H64" s="16">
        <f t="shared" si="3"/>
        <v>34643.620000000003</v>
      </c>
      <c r="I64" s="16">
        <f t="shared" si="13"/>
        <v>62990</v>
      </c>
      <c r="J64" s="16">
        <f t="shared" si="5"/>
        <v>44090</v>
      </c>
      <c r="K64" s="16">
        <f t="shared" si="7"/>
        <v>50390</v>
      </c>
      <c r="L64" s="17">
        <f>((F64-D64)/F64)</f>
        <v>0.21428571428571419</v>
      </c>
      <c r="M64" s="17">
        <f>((G64-D64)/G64)</f>
        <v>0.31243559718969549</v>
      </c>
    </row>
    <row r="65" spans="1:13" x14ac:dyDescent="0.2">
      <c r="A65" s="2" t="s">
        <v>119</v>
      </c>
      <c r="B65" s="2" t="s">
        <v>120</v>
      </c>
      <c r="C65" s="46"/>
      <c r="D65" s="6">
        <v>39270</v>
      </c>
      <c r="E65" s="6">
        <v>71400</v>
      </c>
      <c r="F65" s="6">
        <f t="shared" si="14"/>
        <v>49980</v>
      </c>
      <c r="G65" s="16">
        <f t="shared" si="12"/>
        <v>57120</v>
      </c>
      <c r="H65" s="16">
        <f t="shared" si="3"/>
        <v>46338.6</v>
      </c>
      <c r="I65" s="16">
        <f t="shared" si="13"/>
        <v>84250</v>
      </c>
      <c r="J65" s="16">
        <f t="shared" si="5"/>
        <v>58980</v>
      </c>
      <c r="K65" s="16">
        <f t="shared" si="7"/>
        <v>67400</v>
      </c>
      <c r="L65" s="17">
        <f>((F65-D65)/F65)</f>
        <v>0.21428571428571427</v>
      </c>
      <c r="M65" s="17">
        <f>((G65-D65)/G65)</f>
        <v>0.3125</v>
      </c>
    </row>
    <row r="66" spans="1:13" x14ac:dyDescent="0.2">
      <c r="A66" s="2" t="s">
        <v>121</v>
      </c>
      <c r="B66" s="2" t="s">
        <v>122</v>
      </c>
      <c r="C66" s="46"/>
      <c r="D66" s="6">
        <v>50583.500000000007</v>
      </c>
      <c r="E66" s="6">
        <v>91970</v>
      </c>
      <c r="F66" s="6">
        <f t="shared" si="14"/>
        <v>64379</v>
      </c>
      <c r="G66" s="16">
        <f t="shared" si="12"/>
        <v>73580</v>
      </c>
      <c r="H66" s="16">
        <f t="shared" si="3"/>
        <v>59688.530000000006</v>
      </c>
      <c r="I66" s="16">
        <f t="shared" si="13"/>
        <v>108520</v>
      </c>
      <c r="J66" s="16">
        <f t="shared" si="5"/>
        <v>75960</v>
      </c>
      <c r="K66" s="16">
        <f t="shared" si="7"/>
        <v>86820</v>
      </c>
      <c r="L66" s="17">
        <f>((F66-D66)/F66)</f>
        <v>0.21428571428571416</v>
      </c>
      <c r="M66" s="17">
        <f>((G66-D66)/G66)</f>
        <v>0.31253737428649081</v>
      </c>
    </row>
    <row r="67" spans="1:13" x14ac:dyDescent="0.2">
      <c r="A67" s="2" t="s">
        <v>123</v>
      </c>
      <c r="B67" s="2" t="s">
        <v>124</v>
      </c>
      <c r="C67" s="46"/>
      <c r="D67" s="6">
        <v>46750.000000000007</v>
      </c>
      <c r="E67" s="6">
        <v>85000</v>
      </c>
      <c r="F67" s="6">
        <f t="shared" si="14"/>
        <v>59500</v>
      </c>
      <c r="G67" s="16">
        <f t="shared" si="12"/>
        <v>68000</v>
      </c>
      <c r="H67" s="16">
        <f t="shared" si="3"/>
        <v>55165.000000000007</v>
      </c>
      <c r="I67" s="16">
        <f t="shared" si="13"/>
        <v>100300</v>
      </c>
      <c r="J67" s="16">
        <f t="shared" si="5"/>
        <v>70210</v>
      </c>
      <c r="K67" s="16">
        <f t="shared" si="7"/>
        <v>80240</v>
      </c>
      <c r="L67" s="17">
        <f>((F67-D67)/F67)</f>
        <v>0.21428571428571416</v>
      </c>
      <c r="M67" s="17">
        <f>((G67-D67)/G67)</f>
        <v>0.31249999999999989</v>
      </c>
    </row>
    <row r="68" spans="1:13" x14ac:dyDescent="0.2">
      <c r="A68" s="2" t="s">
        <v>125</v>
      </c>
      <c r="B68" s="2" t="s">
        <v>126</v>
      </c>
      <c r="C68" s="46"/>
      <c r="D68" s="6">
        <v>84150</v>
      </c>
      <c r="E68" s="6">
        <v>153000</v>
      </c>
      <c r="F68" s="6">
        <f t="shared" si="14"/>
        <v>107100</v>
      </c>
      <c r="G68" s="16">
        <f t="shared" si="12"/>
        <v>122400</v>
      </c>
      <c r="H68" s="16">
        <f t="shared" si="3"/>
        <v>99297</v>
      </c>
      <c r="I68" s="16">
        <f t="shared" si="13"/>
        <v>180540</v>
      </c>
      <c r="J68" s="16">
        <f t="shared" si="5"/>
        <v>126380</v>
      </c>
      <c r="K68" s="16">
        <f t="shared" si="7"/>
        <v>144430</v>
      </c>
      <c r="L68" s="17">
        <f>((F68-D68)/F68)</f>
        <v>0.21428571428571427</v>
      </c>
      <c r="M68" s="17">
        <f>((G68-D68)/G68)</f>
        <v>0.3125</v>
      </c>
    </row>
    <row r="69" spans="1:13" x14ac:dyDescent="0.2">
      <c r="A69" s="30" t="s">
        <v>127</v>
      </c>
      <c r="B69" s="23"/>
      <c r="C69" s="46"/>
      <c r="D69" s="6">
        <v>0</v>
      </c>
      <c r="E69" s="6"/>
      <c r="F69" s="6">
        <f t="shared" si="14"/>
        <v>0</v>
      </c>
      <c r="G69" s="16">
        <f t="shared" si="12"/>
        <v>0</v>
      </c>
      <c r="H69" s="16">
        <f t="shared" si="3"/>
        <v>0</v>
      </c>
      <c r="I69" s="16">
        <f t="shared" si="13"/>
        <v>0</v>
      </c>
      <c r="J69" s="16">
        <f t="shared" si="5"/>
        <v>0</v>
      </c>
      <c r="K69" s="16">
        <f t="shared" si="7"/>
        <v>0</v>
      </c>
      <c r="L69" s="17"/>
      <c r="M69" s="17"/>
    </row>
    <row r="70" spans="1:13" x14ac:dyDescent="0.2">
      <c r="A70" s="2" t="s">
        <v>128</v>
      </c>
      <c r="B70" s="2" t="s">
        <v>56</v>
      </c>
      <c r="C70" s="46"/>
      <c r="D70" s="6">
        <v>13715</v>
      </c>
      <c r="E70" s="6">
        <v>24937</v>
      </c>
      <c r="F70" s="6">
        <f t="shared" si="14"/>
        <v>17455.900000000001</v>
      </c>
      <c r="G70" s="16">
        <f t="shared" si="12"/>
        <v>19950</v>
      </c>
      <c r="H70" s="16">
        <f t="shared" ref="H70:H90" si="15">D70*1.18</f>
        <v>16183.699999999999</v>
      </c>
      <c r="I70" s="16">
        <f t="shared" si="13"/>
        <v>29430</v>
      </c>
      <c r="J70" s="16">
        <f t="shared" ref="J70:J90" si="16">ROUND(I70*0.7,-1)</f>
        <v>20600</v>
      </c>
      <c r="K70" s="16">
        <f t="shared" si="7"/>
        <v>23540</v>
      </c>
      <c r="L70" s="17">
        <f>((F70-D70)/F70)</f>
        <v>0.21430576481304323</v>
      </c>
      <c r="M70" s="17">
        <f>((G70-D70)/G70)</f>
        <v>0.31253132832080199</v>
      </c>
    </row>
    <row r="71" spans="1:13" x14ac:dyDescent="0.2">
      <c r="A71" s="2" t="s">
        <v>129</v>
      </c>
      <c r="B71" s="2" t="s">
        <v>57</v>
      </c>
      <c r="C71" s="47"/>
      <c r="D71" s="6">
        <v>18177</v>
      </c>
      <c r="E71" s="6">
        <v>33049</v>
      </c>
      <c r="F71" s="6">
        <f t="shared" si="14"/>
        <v>23134.300000000003</v>
      </c>
      <c r="G71" s="16">
        <f t="shared" si="12"/>
        <v>26440</v>
      </c>
      <c r="H71" s="16">
        <f t="shared" si="15"/>
        <v>21448.86</v>
      </c>
      <c r="I71" s="16">
        <f t="shared" si="13"/>
        <v>39000</v>
      </c>
      <c r="J71" s="16">
        <f t="shared" si="16"/>
        <v>27300</v>
      </c>
      <c r="K71" s="16">
        <f t="shared" si="7"/>
        <v>31200</v>
      </c>
      <c r="L71" s="17">
        <f>((F71-D71)/F71)</f>
        <v>0.21428355299274249</v>
      </c>
      <c r="M71" s="17">
        <f>((G71-D71)/G71)</f>
        <v>0.31251891074130106</v>
      </c>
    </row>
    <row r="72" spans="1:13" x14ac:dyDescent="0.2">
      <c r="A72" s="2" t="s">
        <v>83</v>
      </c>
      <c r="B72" s="2" t="s">
        <v>84</v>
      </c>
      <c r="C72" s="46"/>
      <c r="D72" s="6">
        <v>38962</v>
      </c>
      <c r="E72" s="6">
        <v>70840</v>
      </c>
      <c r="F72" s="6">
        <f t="shared" si="14"/>
        <v>49588</v>
      </c>
      <c r="G72" s="16">
        <f t="shared" si="12"/>
        <v>56670</v>
      </c>
      <c r="H72" s="16">
        <f t="shared" si="15"/>
        <v>45975.159999999996</v>
      </c>
      <c r="I72" s="16">
        <f t="shared" si="13"/>
        <v>83590</v>
      </c>
      <c r="J72" s="16">
        <f t="shared" si="16"/>
        <v>58510</v>
      </c>
      <c r="K72" s="16">
        <f t="shared" ref="K72:K90" si="17">ROUND((I72*0.8),-1)</f>
        <v>66870</v>
      </c>
      <c r="L72" s="17">
        <f>((F72-D72)/F72)</f>
        <v>0.21428571428571427</v>
      </c>
      <c r="M72" s="17">
        <f>((G72-D72)/G72)</f>
        <v>0.31247573672136936</v>
      </c>
    </row>
    <row r="73" spans="1:13" x14ac:dyDescent="0.2">
      <c r="A73" s="2" t="s">
        <v>130</v>
      </c>
      <c r="B73" s="2" t="s">
        <v>156</v>
      </c>
      <c r="C73" s="46"/>
      <c r="D73" s="6">
        <v>61965.200000000004</v>
      </c>
      <c r="E73" s="6">
        <v>112664</v>
      </c>
      <c r="F73" s="6">
        <f t="shared" si="14"/>
        <v>78864.800000000003</v>
      </c>
      <c r="G73" s="16">
        <f t="shared" si="12"/>
        <v>90130</v>
      </c>
      <c r="H73" s="16">
        <f t="shared" si="15"/>
        <v>73118.936000000002</v>
      </c>
      <c r="I73" s="16">
        <f t="shared" si="13"/>
        <v>132940</v>
      </c>
      <c r="J73" s="16">
        <f t="shared" si="16"/>
        <v>93060</v>
      </c>
      <c r="K73" s="16">
        <f t="shared" si="17"/>
        <v>106350</v>
      </c>
      <c r="L73" s="17">
        <f>((F73-D73)/F73)</f>
        <v>0.21428571428571425</v>
      </c>
      <c r="M73" s="17">
        <f>((G73-D73)/G73)</f>
        <v>0.31249084655497611</v>
      </c>
    </row>
    <row r="74" spans="1:13" x14ac:dyDescent="0.2">
      <c r="A74" s="30" t="s">
        <v>35</v>
      </c>
      <c r="B74" s="23"/>
      <c r="C74" s="46"/>
      <c r="D74" s="6">
        <v>0</v>
      </c>
      <c r="E74" s="6"/>
      <c r="F74" s="6">
        <f t="shared" si="14"/>
        <v>0</v>
      </c>
      <c r="G74" s="16">
        <f t="shared" si="12"/>
        <v>0</v>
      </c>
      <c r="H74" s="16">
        <f t="shared" si="15"/>
        <v>0</v>
      </c>
      <c r="I74" s="16">
        <f t="shared" si="13"/>
        <v>0</v>
      </c>
      <c r="J74" s="16">
        <f t="shared" si="16"/>
        <v>0</v>
      </c>
      <c r="K74" s="16">
        <f t="shared" si="17"/>
        <v>0</v>
      </c>
      <c r="L74" s="17"/>
      <c r="M74" s="17"/>
    </row>
    <row r="75" spans="1:13" x14ac:dyDescent="0.2">
      <c r="A75" s="2" t="s">
        <v>131</v>
      </c>
      <c r="B75" s="2" t="s">
        <v>132</v>
      </c>
      <c r="C75" s="46"/>
      <c r="D75" s="6">
        <v>57420.000000000007</v>
      </c>
      <c r="E75" s="6">
        <v>104400</v>
      </c>
      <c r="F75" s="6">
        <f t="shared" si="14"/>
        <v>73080</v>
      </c>
      <c r="G75" s="16">
        <f t="shared" si="12"/>
        <v>83520</v>
      </c>
      <c r="H75" s="16">
        <f t="shared" si="15"/>
        <v>67755.600000000006</v>
      </c>
      <c r="I75" s="16">
        <f t="shared" si="13"/>
        <v>123190</v>
      </c>
      <c r="J75" s="16">
        <f t="shared" si="16"/>
        <v>86230</v>
      </c>
      <c r="K75" s="16">
        <f t="shared" si="17"/>
        <v>98550</v>
      </c>
      <c r="L75" s="17">
        <f t="shared" ref="L75:L82" si="18">((F75-D75)/F75)</f>
        <v>0.21428571428571419</v>
      </c>
      <c r="M75" s="17">
        <f t="shared" ref="M75:M82" si="19">((G75-D75)/G75)</f>
        <v>0.31249999999999989</v>
      </c>
    </row>
    <row r="76" spans="1:13" x14ac:dyDescent="0.2">
      <c r="A76" s="2" t="s">
        <v>133</v>
      </c>
      <c r="B76" s="2" t="s">
        <v>134</v>
      </c>
      <c r="C76" s="47"/>
      <c r="D76" s="6">
        <v>29315.000000000004</v>
      </c>
      <c r="E76" s="6">
        <v>53300</v>
      </c>
      <c r="F76" s="6">
        <f t="shared" si="14"/>
        <v>37310</v>
      </c>
      <c r="G76" s="16">
        <f t="shared" si="12"/>
        <v>42640</v>
      </c>
      <c r="H76" s="16">
        <f t="shared" si="15"/>
        <v>34591.700000000004</v>
      </c>
      <c r="I76" s="16">
        <f t="shared" si="13"/>
        <v>62890</v>
      </c>
      <c r="J76" s="16">
        <f t="shared" si="16"/>
        <v>44020</v>
      </c>
      <c r="K76" s="16">
        <f t="shared" si="17"/>
        <v>50310</v>
      </c>
      <c r="L76" s="17">
        <f t="shared" si="18"/>
        <v>0.21428571428571419</v>
      </c>
      <c r="M76" s="17">
        <f t="shared" si="19"/>
        <v>0.31249999999999989</v>
      </c>
    </row>
    <row r="77" spans="1:13" x14ac:dyDescent="0.2">
      <c r="A77" s="2" t="s">
        <v>135</v>
      </c>
      <c r="B77" s="2" t="s">
        <v>136</v>
      </c>
      <c r="C77" s="46"/>
      <c r="D77" s="6">
        <v>33110</v>
      </c>
      <c r="E77" s="6">
        <v>60200</v>
      </c>
      <c r="F77" s="6">
        <f t="shared" si="14"/>
        <v>42140</v>
      </c>
      <c r="G77" s="16">
        <f t="shared" si="12"/>
        <v>48160</v>
      </c>
      <c r="H77" s="16">
        <f t="shared" si="15"/>
        <v>39069.799999999996</v>
      </c>
      <c r="I77" s="16">
        <f t="shared" si="13"/>
        <v>71040</v>
      </c>
      <c r="J77" s="16">
        <f t="shared" si="16"/>
        <v>49730</v>
      </c>
      <c r="K77" s="16">
        <f t="shared" si="17"/>
        <v>56830</v>
      </c>
      <c r="L77" s="17">
        <f t="shared" si="18"/>
        <v>0.21428571428571427</v>
      </c>
      <c r="M77" s="17">
        <f t="shared" si="19"/>
        <v>0.3125</v>
      </c>
    </row>
    <row r="78" spans="1:13" x14ac:dyDescent="0.2">
      <c r="A78" s="2" t="s">
        <v>137</v>
      </c>
      <c r="B78" s="2" t="s">
        <v>138</v>
      </c>
      <c r="C78" s="46"/>
      <c r="D78" s="6">
        <v>38610</v>
      </c>
      <c r="E78" s="6">
        <v>70200</v>
      </c>
      <c r="F78" s="6">
        <f t="shared" si="14"/>
        <v>49140</v>
      </c>
      <c r="G78" s="16">
        <f t="shared" si="12"/>
        <v>56160</v>
      </c>
      <c r="H78" s="16">
        <f t="shared" si="15"/>
        <v>45559.799999999996</v>
      </c>
      <c r="I78" s="16">
        <f t="shared" si="13"/>
        <v>82840</v>
      </c>
      <c r="J78" s="16">
        <f t="shared" si="16"/>
        <v>57990</v>
      </c>
      <c r="K78" s="16">
        <f t="shared" si="17"/>
        <v>66270</v>
      </c>
      <c r="L78" s="17">
        <f t="shared" si="18"/>
        <v>0.21428571428571427</v>
      </c>
      <c r="M78" s="17">
        <f t="shared" si="19"/>
        <v>0.3125</v>
      </c>
    </row>
    <row r="79" spans="1:13" x14ac:dyDescent="0.2">
      <c r="A79" s="2" t="s">
        <v>139</v>
      </c>
      <c r="B79" s="2" t="s">
        <v>140</v>
      </c>
      <c r="C79" s="46"/>
      <c r="D79" s="6">
        <v>44550</v>
      </c>
      <c r="E79" s="6">
        <v>81000</v>
      </c>
      <c r="F79" s="6">
        <f t="shared" si="14"/>
        <v>56700</v>
      </c>
      <c r="G79" s="16">
        <f t="shared" si="12"/>
        <v>64800</v>
      </c>
      <c r="H79" s="16">
        <f t="shared" si="15"/>
        <v>52569</v>
      </c>
      <c r="I79" s="16">
        <f t="shared" si="13"/>
        <v>95580</v>
      </c>
      <c r="J79" s="16">
        <f t="shared" si="16"/>
        <v>66910</v>
      </c>
      <c r="K79" s="16">
        <f t="shared" si="17"/>
        <v>76460</v>
      </c>
      <c r="L79" s="17">
        <f t="shared" si="18"/>
        <v>0.21428571428571427</v>
      </c>
      <c r="M79" s="17">
        <f t="shared" si="19"/>
        <v>0.3125</v>
      </c>
    </row>
    <row r="80" spans="1:13" x14ac:dyDescent="0.2">
      <c r="A80" s="2" t="s">
        <v>141</v>
      </c>
      <c r="B80" s="2" t="s">
        <v>142</v>
      </c>
      <c r="C80" s="46"/>
      <c r="D80" s="6">
        <v>44220</v>
      </c>
      <c r="E80" s="6">
        <v>80400</v>
      </c>
      <c r="F80" s="6">
        <f t="shared" si="14"/>
        <v>56280</v>
      </c>
      <c r="G80" s="16">
        <f t="shared" si="12"/>
        <v>64320</v>
      </c>
      <c r="H80" s="16">
        <f t="shared" si="15"/>
        <v>52179.6</v>
      </c>
      <c r="I80" s="16">
        <f t="shared" si="13"/>
        <v>94870</v>
      </c>
      <c r="J80" s="16">
        <f t="shared" si="16"/>
        <v>66410</v>
      </c>
      <c r="K80" s="16">
        <f t="shared" si="17"/>
        <v>75900</v>
      </c>
      <c r="L80" s="17">
        <f t="shared" si="18"/>
        <v>0.21428571428571427</v>
      </c>
      <c r="M80" s="17">
        <f t="shared" si="19"/>
        <v>0.3125</v>
      </c>
    </row>
    <row r="81" spans="1:13" x14ac:dyDescent="0.2">
      <c r="A81" s="2" t="s">
        <v>143</v>
      </c>
      <c r="B81" s="2" t="s">
        <v>144</v>
      </c>
      <c r="C81" s="46"/>
      <c r="D81" s="6">
        <v>56650.000000000007</v>
      </c>
      <c r="E81" s="6">
        <v>103000</v>
      </c>
      <c r="F81" s="6">
        <f t="shared" si="14"/>
        <v>72100</v>
      </c>
      <c r="G81" s="16">
        <f t="shared" si="12"/>
        <v>82400</v>
      </c>
      <c r="H81" s="16">
        <f t="shared" si="15"/>
        <v>66847</v>
      </c>
      <c r="I81" s="16">
        <f t="shared" si="13"/>
        <v>121540</v>
      </c>
      <c r="J81" s="16">
        <f t="shared" si="16"/>
        <v>85080</v>
      </c>
      <c r="K81" s="16">
        <f t="shared" si="17"/>
        <v>97230</v>
      </c>
      <c r="L81" s="17">
        <f t="shared" si="18"/>
        <v>0.21428571428571419</v>
      </c>
      <c r="M81" s="17">
        <f t="shared" si="19"/>
        <v>0.31249999999999989</v>
      </c>
    </row>
    <row r="82" spans="1:13" x14ac:dyDescent="0.2">
      <c r="A82" s="2" t="s">
        <v>145</v>
      </c>
      <c r="B82" s="2" t="s">
        <v>146</v>
      </c>
      <c r="C82" s="46"/>
      <c r="D82" s="6">
        <v>141350</v>
      </c>
      <c r="E82" s="6">
        <v>257000</v>
      </c>
      <c r="F82" s="6">
        <f t="shared" si="14"/>
        <v>179900</v>
      </c>
      <c r="G82" s="16">
        <f t="shared" si="12"/>
        <v>205600</v>
      </c>
      <c r="H82" s="16">
        <f t="shared" si="15"/>
        <v>166793</v>
      </c>
      <c r="I82" s="16">
        <f t="shared" si="13"/>
        <v>303260</v>
      </c>
      <c r="J82" s="16">
        <f t="shared" si="16"/>
        <v>212280</v>
      </c>
      <c r="K82" s="16">
        <f t="shared" si="17"/>
        <v>242610</v>
      </c>
      <c r="L82" s="17">
        <f t="shared" si="18"/>
        <v>0.21428571428571427</v>
      </c>
      <c r="M82" s="17">
        <f t="shared" si="19"/>
        <v>0.3125</v>
      </c>
    </row>
    <row r="83" spans="1:13" x14ac:dyDescent="0.2">
      <c r="A83" s="30" t="s">
        <v>147</v>
      </c>
      <c r="B83" s="23"/>
      <c r="C83" s="46"/>
      <c r="D83" s="6">
        <v>0</v>
      </c>
      <c r="E83" s="6"/>
      <c r="F83" s="6">
        <f t="shared" si="14"/>
        <v>0</v>
      </c>
      <c r="G83" s="16">
        <f t="shared" si="12"/>
        <v>0</v>
      </c>
      <c r="H83" s="16">
        <f t="shared" si="15"/>
        <v>0</v>
      </c>
      <c r="I83" s="16">
        <f t="shared" si="13"/>
        <v>0</v>
      </c>
      <c r="J83" s="16">
        <f t="shared" si="16"/>
        <v>0</v>
      </c>
      <c r="K83" s="16">
        <f t="shared" si="17"/>
        <v>0</v>
      </c>
      <c r="L83" s="17"/>
      <c r="M83" s="17"/>
    </row>
    <row r="84" spans="1:13" x14ac:dyDescent="0.2">
      <c r="A84" s="2" t="s">
        <v>148</v>
      </c>
      <c r="B84" s="2" t="s">
        <v>149</v>
      </c>
      <c r="C84" s="46"/>
      <c r="D84" s="6">
        <v>139315</v>
      </c>
      <c r="E84" s="6">
        <v>253300</v>
      </c>
      <c r="F84" s="6">
        <f t="shared" si="14"/>
        <v>177310</v>
      </c>
      <c r="G84" s="16">
        <f t="shared" si="12"/>
        <v>202640</v>
      </c>
      <c r="H84" s="16">
        <f t="shared" si="15"/>
        <v>164391.69999999998</v>
      </c>
      <c r="I84" s="16">
        <f t="shared" si="13"/>
        <v>298890</v>
      </c>
      <c r="J84" s="16">
        <f t="shared" si="16"/>
        <v>209220</v>
      </c>
      <c r="K84" s="16">
        <f t="shared" si="17"/>
        <v>239110</v>
      </c>
      <c r="L84" s="17">
        <f>((F84-D84)/F84)</f>
        <v>0.21428571428571427</v>
      </c>
      <c r="M84" s="17">
        <f>((G84-D84)/G84)</f>
        <v>0.3125</v>
      </c>
    </row>
    <row r="85" spans="1:13" x14ac:dyDescent="0.2">
      <c r="A85" s="2" t="s">
        <v>150</v>
      </c>
      <c r="B85" s="2" t="s">
        <v>151</v>
      </c>
      <c r="C85" s="47"/>
      <c r="D85" s="6">
        <v>99000.000000000015</v>
      </c>
      <c r="E85" s="6">
        <v>180000</v>
      </c>
      <c r="F85" s="6">
        <f t="shared" si="14"/>
        <v>126000</v>
      </c>
      <c r="G85" s="16">
        <f t="shared" si="12"/>
        <v>144000</v>
      </c>
      <c r="H85" s="16">
        <f t="shared" si="15"/>
        <v>116820.00000000001</v>
      </c>
      <c r="I85" s="16">
        <f t="shared" si="13"/>
        <v>212400</v>
      </c>
      <c r="J85" s="16">
        <f t="shared" si="16"/>
        <v>148680</v>
      </c>
      <c r="K85" s="16">
        <f t="shared" si="17"/>
        <v>169920</v>
      </c>
      <c r="L85" s="17">
        <f>((F85-D85)/F85)</f>
        <v>0.21428571428571416</v>
      </c>
      <c r="M85" s="17">
        <f>((G85-D85)/G85)</f>
        <v>0.31249999999999989</v>
      </c>
    </row>
    <row r="86" spans="1:13" x14ac:dyDescent="0.2">
      <c r="A86" s="2" t="s">
        <v>152</v>
      </c>
      <c r="B86" s="2" t="s">
        <v>153</v>
      </c>
      <c r="C86" s="46"/>
      <c r="D86" s="6">
        <v>137940</v>
      </c>
      <c r="E86" s="6">
        <v>250800</v>
      </c>
      <c r="F86" s="6">
        <f t="shared" si="14"/>
        <v>175560</v>
      </c>
      <c r="G86" s="16">
        <f t="shared" si="12"/>
        <v>200640</v>
      </c>
      <c r="H86" s="16">
        <f t="shared" si="15"/>
        <v>162769.19999999998</v>
      </c>
      <c r="I86" s="16">
        <f t="shared" si="13"/>
        <v>295940</v>
      </c>
      <c r="J86" s="16">
        <f t="shared" si="16"/>
        <v>207160</v>
      </c>
      <c r="K86" s="16">
        <f t="shared" si="17"/>
        <v>236750</v>
      </c>
      <c r="L86" s="17">
        <f>((F86-D86)/F86)</f>
        <v>0.21428571428571427</v>
      </c>
      <c r="M86" s="17">
        <f>((G86-D86)/G86)</f>
        <v>0.3125</v>
      </c>
    </row>
    <row r="87" spans="1:13" x14ac:dyDescent="0.2">
      <c r="A87" s="30" t="s">
        <v>154</v>
      </c>
      <c r="B87" s="30"/>
      <c r="C87" s="46"/>
      <c r="D87" s="6">
        <v>0</v>
      </c>
      <c r="E87" s="6"/>
      <c r="F87" s="6">
        <f t="shared" si="14"/>
        <v>0</v>
      </c>
      <c r="G87" s="16">
        <f t="shared" si="12"/>
        <v>0</v>
      </c>
      <c r="H87" s="16">
        <f t="shared" si="15"/>
        <v>0</v>
      </c>
      <c r="I87" s="16">
        <f t="shared" si="13"/>
        <v>0</v>
      </c>
      <c r="J87" s="16">
        <f t="shared" si="16"/>
        <v>0</v>
      </c>
      <c r="K87" s="16">
        <f t="shared" si="17"/>
        <v>0</v>
      </c>
      <c r="L87" s="17"/>
      <c r="M87" s="17"/>
    </row>
    <row r="88" spans="1:13" x14ac:dyDescent="0.2">
      <c r="A88" s="2" t="s">
        <v>155</v>
      </c>
      <c r="B88" s="2"/>
      <c r="C88" s="46"/>
      <c r="D88" s="6">
        <v>51122.500000000007</v>
      </c>
      <c r="E88" s="6">
        <v>92950</v>
      </c>
      <c r="F88" s="6">
        <f t="shared" si="14"/>
        <v>65065</v>
      </c>
      <c r="G88" s="16">
        <f t="shared" si="12"/>
        <v>74360</v>
      </c>
      <c r="H88" s="16">
        <f t="shared" si="15"/>
        <v>60324.55</v>
      </c>
      <c r="I88" s="16">
        <f t="shared" si="13"/>
        <v>109680</v>
      </c>
      <c r="J88" s="16">
        <f t="shared" si="16"/>
        <v>76780</v>
      </c>
      <c r="K88" s="16">
        <f t="shared" si="17"/>
        <v>87740</v>
      </c>
      <c r="L88" s="17">
        <f>((F88-D88)/F88)</f>
        <v>0.21428571428571416</v>
      </c>
      <c r="M88" s="17">
        <f>((G88-D88)/G88)</f>
        <v>0.31249999999999989</v>
      </c>
    </row>
    <row r="89" spans="1:13" x14ac:dyDescent="0.2">
      <c r="A89" s="30" t="s">
        <v>175</v>
      </c>
      <c r="C89" s="47"/>
      <c r="D89" s="6"/>
      <c r="E89" s="6"/>
      <c r="F89" s="6"/>
      <c r="G89" s="16"/>
      <c r="H89" s="16"/>
      <c r="I89" s="16"/>
      <c r="J89" s="16"/>
      <c r="K89" s="16"/>
      <c r="L89" s="17"/>
      <c r="M89" s="17"/>
    </row>
    <row r="90" spans="1:13" x14ac:dyDescent="0.2">
      <c r="A90" s="38" t="s">
        <v>174</v>
      </c>
      <c r="C90" s="46"/>
      <c r="D90" s="39">
        <v>12018</v>
      </c>
      <c r="E90" s="6">
        <v>21850</v>
      </c>
      <c r="F90" s="6">
        <f t="shared" si="14"/>
        <v>15295</v>
      </c>
      <c r="G90" s="16">
        <f t="shared" si="12"/>
        <v>17480</v>
      </c>
      <c r="H90" s="16">
        <f t="shared" si="15"/>
        <v>14181.24</v>
      </c>
      <c r="I90" s="16">
        <f t="shared" si="13"/>
        <v>25780</v>
      </c>
      <c r="J90" s="16">
        <f t="shared" si="16"/>
        <v>18050</v>
      </c>
      <c r="K90" s="16">
        <f t="shared" si="17"/>
        <v>20620</v>
      </c>
      <c r="L90" s="17">
        <f t="shared" ref="L90" si="20">((F90-D90)/F90)</f>
        <v>0.21425302386400785</v>
      </c>
      <c r="M90" s="17">
        <f t="shared" ref="M90" si="21">((G90-D90)/G90)</f>
        <v>0.31247139588100686</v>
      </c>
    </row>
  </sheetData>
  <mergeCells count="1">
    <mergeCell ref="A2:E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EE11-4630-7942-8E97-D129BDDF799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Praveen Price List</vt:lpstr>
      <vt:lpstr>Stonewater_Dist_Dealer_price</vt:lpstr>
      <vt:lpstr>Sheet1</vt:lpstr>
      <vt:lpstr>'Praveen Price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RGASoundimage</cp:lastModifiedBy>
  <cp:lastPrinted>2026-03-26T09:30:49Z</cp:lastPrinted>
  <dcterms:created xsi:type="dcterms:W3CDTF">2022-05-10T08:18:02Z</dcterms:created>
  <dcterms:modified xsi:type="dcterms:W3CDTF">2026-06-11T09:42:01Z</dcterms:modified>
</cp:coreProperties>
</file>